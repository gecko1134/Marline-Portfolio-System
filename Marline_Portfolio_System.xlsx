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d9b9160a5c47de28/Desktop/Y Charts Spreadsheet/"/>
    </mc:Choice>
  </mc:AlternateContent>
  <xr:revisionPtr revIDLastSave="0" documentId="11_9C5ABF04223F2A423C19EA57C825A5A5BAEBB607" xr6:coauthVersionLast="47" xr6:coauthVersionMax="47" xr10:uidLastSave="{00000000-0000-0000-0000-000000000000}"/>
  <bookViews>
    <workbookView minimized="1" xWindow="1080" yWindow="348" windowWidth="16080" windowHeight="13680" tabRatio="500" xr2:uid="{00000000-000D-0000-FFFF-FFFF00000000}"/>
  </bookViews>
  <sheets>
    <sheet name="Data Input" sheetId="1" r:id="rId1"/>
    <sheet name="Asset Analysis" sheetId="2" r:id="rId2"/>
    <sheet name="Dashboard" sheetId="3" r:id="rId3"/>
    <sheet name="Signal Engine" sheetId="4" r:id="rId4"/>
    <sheet name="Buffered ETF Strategy" sheetId="5" r:id="rId5"/>
    <sheet name="Risk Management" sheetId="6" r:id="rId6"/>
    <sheet name="Rebalancing" sheetId="7" r:id="rId7"/>
    <sheet name="Portfolio Construction" sheetId="8" r:id="rId8"/>
    <sheet name="Trading Desk" sheetId="9" r:id="rId9"/>
    <sheet name="Screening Universe" sheetId="10" r:id="rId10"/>
    <sheet name="Portfolio Forecast" sheetId="11" r:id="rId11"/>
    <sheet name="Scenario Compare" sheetId="12" r:id="rId12"/>
    <sheet name="YCharts Setup" sheetId="13" r:id="rId13"/>
    <sheet name="Technical Analysis" sheetId="14" r:id="rId14"/>
    <sheet name="Investor Lifecycle" sheetId="15" r:id="rId15"/>
    <sheet name="Performance Metrics" sheetId="16" r:id="rId16"/>
  </sheets>
  <definedNames>
    <definedName name="_xlnm._FilterDatabase" localSheetId="0" hidden="1">'Data Input'!$A$54:$AG$79</definedName>
    <definedName name="_xlnm._FilterDatabase" localSheetId="9" hidden="1">'Screening Universe'!$A$16:$AB$97</definedName>
  </definedNames>
  <calcPr calcId="191029" iterateDelta="1E-4" calcCompleted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6" l="1"/>
  <c r="C11" i="16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D76" i="15"/>
  <c r="H76" i="15" s="1"/>
  <c r="C76" i="15"/>
  <c r="B76" i="15"/>
  <c r="H59" i="15"/>
  <c r="H58" i="15"/>
  <c r="H57" i="15"/>
  <c r="H56" i="15"/>
  <c r="F56" i="15"/>
  <c r="E56" i="15"/>
  <c r="D56" i="15"/>
  <c r="C56" i="15"/>
  <c r="B56" i="15"/>
  <c r="G53" i="15"/>
  <c r="G51" i="15"/>
  <c r="B35" i="15"/>
  <c r="B56" i="16" s="1"/>
  <c r="B34" i="15"/>
  <c r="B33" i="15"/>
  <c r="B32" i="15"/>
  <c r="B31" i="15"/>
  <c r="B37" i="15" s="1"/>
  <c r="D28" i="15"/>
  <c r="E28" i="15" s="1"/>
  <c r="D27" i="15"/>
  <c r="C27" i="15"/>
  <c r="E27" i="15" s="1"/>
  <c r="F26" i="15"/>
  <c r="D26" i="15"/>
  <c r="E26" i="15" s="1"/>
  <c r="D25" i="15"/>
  <c r="E25" i="15" s="1"/>
  <c r="F24" i="15"/>
  <c r="D24" i="15"/>
  <c r="E24" i="15" s="1"/>
  <c r="C24" i="15"/>
  <c r="F23" i="15"/>
  <c r="D23" i="15"/>
  <c r="E23" i="15" s="1"/>
  <c r="C23" i="15"/>
  <c r="B11" i="15"/>
  <c r="B8" i="15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B30" i="14"/>
  <c r="F32" i="12"/>
  <c r="E32" i="12"/>
  <c r="D32" i="12"/>
  <c r="C32" i="12"/>
  <c r="B32" i="12"/>
  <c r="F31" i="12"/>
  <c r="E31" i="12"/>
  <c r="D31" i="12"/>
  <c r="C31" i="12"/>
  <c r="B31" i="12"/>
  <c r="F30" i="12"/>
  <c r="E30" i="12"/>
  <c r="D30" i="12"/>
  <c r="C30" i="12"/>
  <c r="B30" i="12"/>
  <c r="F29" i="12"/>
  <c r="E29" i="12"/>
  <c r="D29" i="12"/>
  <c r="C29" i="12"/>
  <c r="B29" i="12"/>
  <c r="D26" i="12"/>
  <c r="B26" i="12"/>
  <c r="E25" i="12"/>
  <c r="C25" i="12"/>
  <c r="B25" i="12"/>
  <c r="F23" i="12"/>
  <c r="E23" i="12"/>
  <c r="E26" i="12" s="1"/>
  <c r="D23" i="12"/>
  <c r="D25" i="12" s="1"/>
  <c r="C23" i="12"/>
  <c r="B37" i="12" s="1"/>
  <c r="B23" i="12"/>
  <c r="L18" i="12"/>
  <c r="J18" i="12"/>
  <c r="H18" i="12"/>
  <c r="F18" i="12"/>
  <c r="D18" i="12"/>
  <c r="M17" i="12"/>
  <c r="K17" i="12"/>
  <c r="I17" i="12"/>
  <c r="G17" i="12"/>
  <c r="E17" i="12"/>
  <c r="M16" i="12"/>
  <c r="K16" i="12"/>
  <c r="I16" i="12"/>
  <c r="G16" i="12"/>
  <c r="E16" i="12"/>
  <c r="M15" i="12"/>
  <c r="K15" i="12"/>
  <c r="I15" i="12"/>
  <c r="G15" i="12"/>
  <c r="E15" i="12"/>
  <c r="M14" i="12"/>
  <c r="K14" i="12"/>
  <c r="I14" i="12"/>
  <c r="G14" i="12"/>
  <c r="E14" i="12"/>
  <c r="M13" i="12"/>
  <c r="K13" i="12"/>
  <c r="I13" i="12"/>
  <c r="G13" i="12"/>
  <c r="E13" i="12"/>
  <c r="M12" i="12"/>
  <c r="K12" i="12"/>
  <c r="I12" i="12"/>
  <c r="G12" i="12"/>
  <c r="E12" i="12"/>
  <c r="M11" i="12"/>
  <c r="K11" i="12"/>
  <c r="I11" i="12"/>
  <c r="G11" i="12"/>
  <c r="E11" i="12"/>
  <c r="M10" i="12"/>
  <c r="K10" i="12"/>
  <c r="I10" i="12"/>
  <c r="G10" i="12"/>
  <c r="E10" i="12"/>
  <c r="M9" i="12"/>
  <c r="K9" i="12"/>
  <c r="I9" i="12"/>
  <c r="G9" i="12"/>
  <c r="E9" i="12"/>
  <c r="M8" i="12"/>
  <c r="K8" i="12"/>
  <c r="I8" i="12"/>
  <c r="G8" i="12"/>
  <c r="E8" i="12"/>
  <c r="M7" i="12"/>
  <c r="K7" i="12"/>
  <c r="I7" i="12"/>
  <c r="G7" i="12"/>
  <c r="E7" i="12"/>
  <c r="M6" i="12"/>
  <c r="K6" i="12"/>
  <c r="I6" i="12"/>
  <c r="I18" i="12" s="1"/>
  <c r="D22" i="12" s="1"/>
  <c r="D24" i="12" s="1"/>
  <c r="G6" i="12"/>
  <c r="E6" i="12"/>
  <c r="E18" i="12" s="1"/>
  <c r="B22" i="12" s="1"/>
  <c r="M5" i="12"/>
  <c r="M18" i="12" s="1"/>
  <c r="F22" i="12" s="1"/>
  <c r="K5" i="12"/>
  <c r="K18" i="12" s="1"/>
  <c r="E22" i="12" s="1"/>
  <c r="I5" i="12"/>
  <c r="G5" i="12"/>
  <c r="E5" i="12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H17" i="11"/>
  <c r="H18" i="11" s="1"/>
  <c r="H19" i="11" s="1"/>
  <c r="H20" i="11" s="1"/>
  <c r="C17" i="11"/>
  <c r="H16" i="11"/>
  <c r="E16" i="11"/>
  <c r="B17" i="11" s="1"/>
  <c r="D16" i="11"/>
  <c r="C16" i="11"/>
  <c r="B16" i="11"/>
  <c r="I16" i="11" s="1"/>
  <c r="I17" i="11" s="1"/>
  <c r="I18" i="11" s="1"/>
  <c r="I19" i="11" s="1"/>
  <c r="I20" i="11" s="1"/>
  <c r="B8" i="11"/>
  <c r="B7" i="11"/>
  <c r="B6" i="11"/>
  <c r="B45" i="11" s="1"/>
  <c r="B5" i="11"/>
  <c r="B100" i="10"/>
  <c r="R97" i="10"/>
  <c r="Q97" i="10"/>
  <c r="P97" i="10"/>
  <c r="O97" i="10"/>
  <c r="U97" i="10" s="1"/>
  <c r="N97" i="10"/>
  <c r="M97" i="10"/>
  <c r="L97" i="10"/>
  <c r="K97" i="10"/>
  <c r="I97" i="10"/>
  <c r="H97" i="10"/>
  <c r="G97" i="10"/>
  <c r="F97" i="10"/>
  <c r="E97" i="10"/>
  <c r="R96" i="10"/>
  <c r="Q96" i="10"/>
  <c r="P96" i="10"/>
  <c r="O96" i="10"/>
  <c r="N96" i="10"/>
  <c r="M96" i="10"/>
  <c r="L96" i="10"/>
  <c r="K96" i="10"/>
  <c r="I96" i="10"/>
  <c r="U96" i="10" s="1"/>
  <c r="H96" i="10"/>
  <c r="G96" i="10"/>
  <c r="F96" i="10"/>
  <c r="E96" i="10"/>
  <c r="R95" i="10"/>
  <c r="Q95" i="10"/>
  <c r="P95" i="10"/>
  <c r="O95" i="10"/>
  <c r="U95" i="10" s="1"/>
  <c r="N95" i="10"/>
  <c r="M95" i="10"/>
  <c r="L95" i="10"/>
  <c r="K95" i="10"/>
  <c r="I95" i="10"/>
  <c r="H95" i="10"/>
  <c r="G95" i="10"/>
  <c r="F95" i="10"/>
  <c r="E95" i="10"/>
  <c r="R94" i="10"/>
  <c r="Q94" i="10"/>
  <c r="P94" i="10"/>
  <c r="O94" i="10"/>
  <c r="N94" i="10"/>
  <c r="M94" i="10"/>
  <c r="L94" i="10"/>
  <c r="K94" i="10"/>
  <c r="I94" i="10"/>
  <c r="H94" i="10"/>
  <c r="G94" i="10"/>
  <c r="F94" i="10"/>
  <c r="E94" i="10"/>
  <c r="R93" i="10"/>
  <c r="T93" i="10" s="1"/>
  <c r="Q93" i="10"/>
  <c r="P93" i="10"/>
  <c r="O93" i="10"/>
  <c r="N93" i="10"/>
  <c r="M93" i="10"/>
  <c r="L93" i="10"/>
  <c r="K93" i="10"/>
  <c r="I93" i="10"/>
  <c r="H93" i="10"/>
  <c r="G93" i="10"/>
  <c r="F93" i="10"/>
  <c r="E93" i="10"/>
  <c r="R92" i="10"/>
  <c r="Q92" i="10"/>
  <c r="P92" i="10"/>
  <c r="O92" i="10"/>
  <c r="S92" i="10" s="1"/>
  <c r="N92" i="10"/>
  <c r="M92" i="10"/>
  <c r="L92" i="10"/>
  <c r="K92" i="10"/>
  <c r="I92" i="10"/>
  <c r="H92" i="10"/>
  <c r="G92" i="10"/>
  <c r="F92" i="10"/>
  <c r="E92" i="10"/>
  <c r="R91" i="10"/>
  <c r="Q91" i="10"/>
  <c r="P91" i="10"/>
  <c r="O91" i="10"/>
  <c r="N91" i="10"/>
  <c r="M91" i="10"/>
  <c r="L91" i="10"/>
  <c r="K91" i="10"/>
  <c r="I91" i="10"/>
  <c r="H91" i="10"/>
  <c r="G91" i="10"/>
  <c r="F91" i="10"/>
  <c r="E91" i="10"/>
  <c r="R90" i="10"/>
  <c r="Q90" i="10"/>
  <c r="P90" i="10"/>
  <c r="O90" i="10"/>
  <c r="N90" i="10"/>
  <c r="M90" i="10"/>
  <c r="L90" i="10"/>
  <c r="K90" i="10"/>
  <c r="I90" i="10"/>
  <c r="H90" i="10"/>
  <c r="G90" i="10"/>
  <c r="F90" i="10"/>
  <c r="E90" i="10"/>
  <c r="S89" i="10"/>
  <c r="R89" i="10"/>
  <c r="Q89" i="10"/>
  <c r="P89" i="10"/>
  <c r="O89" i="10"/>
  <c r="N89" i="10"/>
  <c r="M89" i="10"/>
  <c r="L89" i="10"/>
  <c r="K89" i="10"/>
  <c r="I89" i="10"/>
  <c r="H89" i="10"/>
  <c r="G89" i="10"/>
  <c r="F89" i="10"/>
  <c r="E89" i="10"/>
  <c r="R88" i="10"/>
  <c r="Q88" i="10"/>
  <c r="P88" i="10"/>
  <c r="O88" i="10"/>
  <c r="N88" i="10"/>
  <c r="M88" i="10"/>
  <c r="L88" i="10"/>
  <c r="K88" i="10"/>
  <c r="I88" i="10"/>
  <c r="H88" i="10"/>
  <c r="G88" i="10"/>
  <c r="F88" i="10"/>
  <c r="E88" i="10"/>
  <c r="R87" i="10"/>
  <c r="Q87" i="10"/>
  <c r="P87" i="10"/>
  <c r="O87" i="10"/>
  <c r="S87" i="10" s="1"/>
  <c r="N87" i="10"/>
  <c r="M87" i="10"/>
  <c r="L87" i="10"/>
  <c r="K87" i="10"/>
  <c r="I87" i="10"/>
  <c r="H87" i="10"/>
  <c r="G87" i="10"/>
  <c r="F87" i="10"/>
  <c r="E87" i="10"/>
  <c r="R86" i="10"/>
  <c r="T86" i="10" s="1"/>
  <c r="Q86" i="10"/>
  <c r="P86" i="10"/>
  <c r="O86" i="10"/>
  <c r="U86" i="10" s="1"/>
  <c r="N86" i="10"/>
  <c r="M86" i="10"/>
  <c r="L86" i="10"/>
  <c r="K86" i="10"/>
  <c r="I86" i="10"/>
  <c r="H86" i="10"/>
  <c r="G86" i="10"/>
  <c r="F86" i="10"/>
  <c r="E86" i="10"/>
  <c r="R85" i="10"/>
  <c r="T85" i="10" s="1"/>
  <c r="Q85" i="10"/>
  <c r="P85" i="10"/>
  <c r="U85" i="10" s="1"/>
  <c r="O85" i="10"/>
  <c r="N85" i="10"/>
  <c r="M85" i="10"/>
  <c r="L85" i="10"/>
  <c r="K85" i="10"/>
  <c r="I85" i="10"/>
  <c r="H85" i="10"/>
  <c r="G85" i="10"/>
  <c r="F85" i="10"/>
  <c r="E85" i="10"/>
  <c r="R84" i="10"/>
  <c r="T84" i="10" s="1"/>
  <c r="Q84" i="10"/>
  <c r="P84" i="10"/>
  <c r="O84" i="10"/>
  <c r="N84" i="10"/>
  <c r="M84" i="10"/>
  <c r="L84" i="10"/>
  <c r="K84" i="10"/>
  <c r="I84" i="10"/>
  <c r="H84" i="10"/>
  <c r="G84" i="10"/>
  <c r="F84" i="10"/>
  <c r="E84" i="10"/>
  <c r="R83" i="10"/>
  <c r="Q83" i="10"/>
  <c r="P83" i="10"/>
  <c r="O83" i="10"/>
  <c r="N83" i="10"/>
  <c r="M83" i="10"/>
  <c r="L83" i="10"/>
  <c r="K83" i="10"/>
  <c r="I83" i="10"/>
  <c r="H83" i="10"/>
  <c r="G83" i="10"/>
  <c r="F83" i="10"/>
  <c r="E83" i="10"/>
  <c r="R82" i="10"/>
  <c r="Q82" i="10"/>
  <c r="P82" i="10"/>
  <c r="O82" i="10"/>
  <c r="N82" i="10"/>
  <c r="M82" i="10"/>
  <c r="L82" i="10"/>
  <c r="K82" i="10"/>
  <c r="I82" i="10"/>
  <c r="H82" i="10"/>
  <c r="G82" i="10"/>
  <c r="F82" i="10"/>
  <c r="E82" i="10"/>
  <c r="R81" i="10"/>
  <c r="Q81" i="10"/>
  <c r="P81" i="10"/>
  <c r="O81" i="10"/>
  <c r="S81" i="10" s="1"/>
  <c r="N81" i="10"/>
  <c r="M81" i="10"/>
  <c r="L81" i="10"/>
  <c r="K81" i="10"/>
  <c r="I81" i="10"/>
  <c r="H81" i="10"/>
  <c r="G81" i="10"/>
  <c r="F81" i="10"/>
  <c r="E81" i="10"/>
  <c r="R80" i="10"/>
  <c r="Q80" i="10"/>
  <c r="P80" i="10"/>
  <c r="O80" i="10"/>
  <c r="U80" i="10" s="1"/>
  <c r="N80" i="10"/>
  <c r="M80" i="10"/>
  <c r="L80" i="10"/>
  <c r="K80" i="10"/>
  <c r="I80" i="10"/>
  <c r="H80" i="10"/>
  <c r="G80" i="10"/>
  <c r="F80" i="10"/>
  <c r="E80" i="10"/>
  <c r="R79" i="10"/>
  <c r="Q79" i="10"/>
  <c r="P79" i="10"/>
  <c r="O79" i="10"/>
  <c r="U79" i="10" s="1"/>
  <c r="N79" i="10"/>
  <c r="M79" i="10"/>
  <c r="L79" i="10"/>
  <c r="K79" i="10"/>
  <c r="I79" i="10"/>
  <c r="H79" i="10"/>
  <c r="G79" i="10"/>
  <c r="F79" i="10"/>
  <c r="E79" i="10"/>
  <c r="R78" i="10"/>
  <c r="Q78" i="10"/>
  <c r="P78" i="10"/>
  <c r="O78" i="10"/>
  <c r="N78" i="10"/>
  <c r="M78" i="10"/>
  <c r="L78" i="10"/>
  <c r="K78" i="10"/>
  <c r="I78" i="10"/>
  <c r="H78" i="10"/>
  <c r="G78" i="10"/>
  <c r="F78" i="10"/>
  <c r="E78" i="10"/>
  <c r="R77" i="10"/>
  <c r="Q77" i="10"/>
  <c r="P77" i="10"/>
  <c r="O77" i="10"/>
  <c r="N77" i="10"/>
  <c r="M77" i="10"/>
  <c r="L77" i="10"/>
  <c r="K77" i="10"/>
  <c r="I77" i="10"/>
  <c r="H77" i="10"/>
  <c r="G77" i="10"/>
  <c r="F77" i="10"/>
  <c r="E77" i="10"/>
  <c r="R76" i="10"/>
  <c r="Q76" i="10"/>
  <c r="P76" i="10"/>
  <c r="O76" i="10"/>
  <c r="N76" i="10"/>
  <c r="M76" i="10"/>
  <c r="L76" i="10"/>
  <c r="K76" i="10"/>
  <c r="I76" i="10"/>
  <c r="H76" i="10"/>
  <c r="G76" i="10"/>
  <c r="F76" i="10"/>
  <c r="E76" i="10"/>
  <c r="R75" i="10"/>
  <c r="Q75" i="10"/>
  <c r="P75" i="10"/>
  <c r="O75" i="10"/>
  <c r="N75" i="10"/>
  <c r="M75" i="10"/>
  <c r="L75" i="10"/>
  <c r="K75" i="10"/>
  <c r="I75" i="10"/>
  <c r="H75" i="10"/>
  <c r="G75" i="10"/>
  <c r="F75" i="10"/>
  <c r="E75" i="10"/>
  <c r="R74" i="10"/>
  <c r="Q74" i="10"/>
  <c r="P74" i="10"/>
  <c r="O74" i="10"/>
  <c r="U74" i="10" s="1"/>
  <c r="N74" i="10"/>
  <c r="M74" i="10"/>
  <c r="L74" i="10"/>
  <c r="K74" i="10"/>
  <c r="I74" i="10"/>
  <c r="H74" i="10"/>
  <c r="G74" i="10"/>
  <c r="F74" i="10"/>
  <c r="E74" i="10"/>
  <c r="R73" i="10"/>
  <c r="Q73" i="10"/>
  <c r="P73" i="10"/>
  <c r="O73" i="10"/>
  <c r="U73" i="10" s="1"/>
  <c r="N73" i="10"/>
  <c r="M73" i="10"/>
  <c r="L73" i="10"/>
  <c r="K73" i="10"/>
  <c r="I73" i="10"/>
  <c r="H73" i="10"/>
  <c r="G73" i="10"/>
  <c r="F73" i="10"/>
  <c r="E73" i="10"/>
  <c r="R72" i="10"/>
  <c r="T72" i="10" s="1"/>
  <c r="Q72" i="10"/>
  <c r="P72" i="10"/>
  <c r="O72" i="10"/>
  <c r="N72" i="10"/>
  <c r="M72" i="10"/>
  <c r="L72" i="10"/>
  <c r="K72" i="10"/>
  <c r="I72" i="10"/>
  <c r="H72" i="10"/>
  <c r="G72" i="10"/>
  <c r="F72" i="10"/>
  <c r="E72" i="10"/>
  <c r="R71" i="10"/>
  <c r="Q71" i="10"/>
  <c r="P71" i="10"/>
  <c r="O71" i="10"/>
  <c r="N71" i="10"/>
  <c r="M71" i="10"/>
  <c r="L71" i="10"/>
  <c r="K71" i="10"/>
  <c r="I71" i="10"/>
  <c r="H71" i="10"/>
  <c r="G71" i="10"/>
  <c r="F71" i="10"/>
  <c r="E71" i="10"/>
  <c r="R70" i="10"/>
  <c r="T70" i="10" s="1"/>
  <c r="Q70" i="10"/>
  <c r="P70" i="10"/>
  <c r="O70" i="10"/>
  <c r="N70" i="10"/>
  <c r="M70" i="10"/>
  <c r="L70" i="10"/>
  <c r="K70" i="10"/>
  <c r="I70" i="10"/>
  <c r="H70" i="10"/>
  <c r="G70" i="10"/>
  <c r="F70" i="10"/>
  <c r="E70" i="10"/>
  <c r="U69" i="10"/>
  <c r="R69" i="10"/>
  <c r="T69" i="10" s="1"/>
  <c r="Q69" i="10"/>
  <c r="P69" i="10"/>
  <c r="O69" i="10"/>
  <c r="N69" i="10"/>
  <c r="M69" i="10"/>
  <c r="L69" i="10"/>
  <c r="K69" i="10"/>
  <c r="I69" i="10"/>
  <c r="H69" i="10"/>
  <c r="G69" i="10"/>
  <c r="F69" i="10"/>
  <c r="E69" i="10"/>
  <c r="R68" i="10"/>
  <c r="T68" i="10" s="1"/>
  <c r="Q68" i="10"/>
  <c r="P68" i="10"/>
  <c r="O68" i="10"/>
  <c r="U68" i="10" s="1"/>
  <c r="N68" i="10"/>
  <c r="M68" i="10"/>
  <c r="L68" i="10"/>
  <c r="K68" i="10"/>
  <c r="I68" i="10"/>
  <c r="H68" i="10"/>
  <c r="G68" i="10"/>
  <c r="F68" i="10"/>
  <c r="E68" i="10"/>
  <c r="R67" i="10"/>
  <c r="Q67" i="10"/>
  <c r="P67" i="10"/>
  <c r="O67" i="10"/>
  <c r="U67" i="10" s="1"/>
  <c r="N67" i="10"/>
  <c r="M67" i="10"/>
  <c r="L67" i="10"/>
  <c r="K67" i="10"/>
  <c r="I67" i="10"/>
  <c r="H67" i="10"/>
  <c r="G67" i="10"/>
  <c r="F67" i="10"/>
  <c r="E67" i="10"/>
  <c r="R66" i="10"/>
  <c r="T66" i="10" s="1"/>
  <c r="Q66" i="10"/>
  <c r="P66" i="10"/>
  <c r="O66" i="10"/>
  <c r="U66" i="10" s="1"/>
  <c r="N66" i="10"/>
  <c r="M66" i="10"/>
  <c r="L66" i="10"/>
  <c r="K66" i="10"/>
  <c r="I66" i="10"/>
  <c r="H66" i="10"/>
  <c r="G66" i="10"/>
  <c r="F66" i="10"/>
  <c r="E66" i="10"/>
  <c r="R65" i="10"/>
  <c r="Q65" i="10"/>
  <c r="P65" i="10"/>
  <c r="O65" i="10"/>
  <c r="N65" i="10"/>
  <c r="M65" i="10"/>
  <c r="L65" i="10"/>
  <c r="K65" i="10"/>
  <c r="I65" i="10"/>
  <c r="H65" i="10"/>
  <c r="G65" i="10"/>
  <c r="F65" i="10"/>
  <c r="E65" i="10"/>
  <c r="R64" i="10"/>
  <c r="T64" i="10" s="1"/>
  <c r="Q64" i="10"/>
  <c r="P64" i="10"/>
  <c r="O64" i="10"/>
  <c r="N64" i="10"/>
  <c r="M64" i="10"/>
  <c r="L64" i="10"/>
  <c r="K64" i="10"/>
  <c r="I64" i="10"/>
  <c r="H64" i="10"/>
  <c r="G64" i="10"/>
  <c r="F64" i="10"/>
  <c r="E64" i="10"/>
  <c r="U63" i="10"/>
  <c r="R63" i="10"/>
  <c r="T63" i="10" s="1"/>
  <c r="Q63" i="10"/>
  <c r="P63" i="10"/>
  <c r="O63" i="10"/>
  <c r="N63" i="10"/>
  <c r="M63" i="10"/>
  <c r="L63" i="10"/>
  <c r="K63" i="10"/>
  <c r="I63" i="10"/>
  <c r="H63" i="10"/>
  <c r="G63" i="10"/>
  <c r="F63" i="10"/>
  <c r="E63" i="10"/>
  <c r="U62" i="10"/>
  <c r="R62" i="10"/>
  <c r="Q62" i="10"/>
  <c r="P62" i="10"/>
  <c r="O62" i="10"/>
  <c r="S62" i="10" s="1"/>
  <c r="N62" i="10"/>
  <c r="M62" i="10"/>
  <c r="L62" i="10"/>
  <c r="K62" i="10"/>
  <c r="I62" i="10"/>
  <c r="H62" i="10"/>
  <c r="G62" i="10"/>
  <c r="F62" i="10"/>
  <c r="E62" i="10"/>
  <c r="R61" i="10"/>
  <c r="Q61" i="10"/>
  <c r="P61" i="10"/>
  <c r="O61" i="10"/>
  <c r="U61" i="10" s="1"/>
  <c r="N61" i="10"/>
  <c r="M61" i="10"/>
  <c r="L61" i="10"/>
  <c r="K61" i="10"/>
  <c r="I61" i="10"/>
  <c r="H61" i="10"/>
  <c r="G61" i="10"/>
  <c r="F61" i="10"/>
  <c r="E61" i="10"/>
  <c r="R60" i="10"/>
  <c r="Q60" i="10"/>
  <c r="P60" i="10"/>
  <c r="O60" i="10"/>
  <c r="U60" i="10" s="1"/>
  <c r="N60" i="10"/>
  <c r="M60" i="10"/>
  <c r="L60" i="10"/>
  <c r="K60" i="10"/>
  <c r="I60" i="10"/>
  <c r="H60" i="10"/>
  <c r="G60" i="10"/>
  <c r="F60" i="10"/>
  <c r="E60" i="10"/>
  <c r="R59" i="10"/>
  <c r="Q59" i="10"/>
  <c r="P59" i="10"/>
  <c r="O59" i="10"/>
  <c r="N59" i="10"/>
  <c r="M59" i="10"/>
  <c r="L59" i="10"/>
  <c r="K59" i="10"/>
  <c r="I59" i="10"/>
  <c r="H59" i="10"/>
  <c r="G59" i="10"/>
  <c r="F59" i="10"/>
  <c r="E59" i="10"/>
  <c r="R58" i="10"/>
  <c r="T58" i="10" s="1"/>
  <c r="Q58" i="10"/>
  <c r="P58" i="10"/>
  <c r="O58" i="10"/>
  <c r="N58" i="10"/>
  <c r="M58" i="10"/>
  <c r="L58" i="10"/>
  <c r="K58" i="10"/>
  <c r="I58" i="10"/>
  <c r="H58" i="10"/>
  <c r="G58" i="10"/>
  <c r="F58" i="10"/>
  <c r="E58" i="10"/>
  <c r="R57" i="10"/>
  <c r="Q57" i="10"/>
  <c r="P57" i="10"/>
  <c r="O57" i="10"/>
  <c r="S57" i="10" s="1"/>
  <c r="N57" i="10"/>
  <c r="M57" i="10"/>
  <c r="L57" i="10"/>
  <c r="K57" i="10"/>
  <c r="I57" i="10"/>
  <c r="H57" i="10"/>
  <c r="G57" i="10"/>
  <c r="F57" i="10"/>
  <c r="E57" i="10"/>
  <c r="R56" i="10"/>
  <c r="T56" i="10" s="1"/>
  <c r="Q56" i="10"/>
  <c r="P56" i="10"/>
  <c r="O56" i="10"/>
  <c r="N56" i="10"/>
  <c r="M56" i="10"/>
  <c r="L56" i="10"/>
  <c r="K56" i="10"/>
  <c r="I56" i="10"/>
  <c r="U56" i="10" s="1"/>
  <c r="H56" i="10"/>
  <c r="G56" i="10"/>
  <c r="F56" i="10"/>
  <c r="E56" i="10"/>
  <c r="R55" i="10"/>
  <c r="Q55" i="10"/>
  <c r="P55" i="10"/>
  <c r="O55" i="10"/>
  <c r="U55" i="10" s="1"/>
  <c r="N55" i="10"/>
  <c r="M55" i="10"/>
  <c r="L55" i="10"/>
  <c r="K55" i="10"/>
  <c r="I55" i="10"/>
  <c r="H55" i="10"/>
  <c r="G55" i="10"/>
  <c r="F55" i="10"/>
  <c r="E55" i="10"/>
  <c r="R54" i="10"/>
  <c r="Q54" i="10"/>
  <c r="P54" i="10"/>
  <c r="O54" i="10"/>
  <c r="N54" i="10"/>
  <c r="M54" i="10"/>
  <c r="L54" i="10"/>
  <c r="K54" i="10"/>
  <c r="I54" i="10"/>
  <c r="H54" i="10"/>
  <c r="G54" i="10"/>
  <c r="F54" i="10"/>
  <c r="E54" i="10"/>
  <c r="R53" i="10"/>
  <c r="Q53" i="10"/>
  <c r="P53" i="10"/>
  <c r="O53" i="10"/>
  <c r="U53" i="10" s="1"/>
  <c r="N53" i="10"/>
  <c r="M53" i="10"/>
  <c r="L53" i="10"/>
  <c r="K53" i="10"/>
  <c r="I53" i="10"/>
  <c r="H53" i="10"/>
  <c r="G53" i="10"/>
  <c r="F53" i="10"/>
  <c r="E53" i="10"/>
  <c r="R52" i="10"/>
  <c r="Q52" i="10"/>
  <c r="P52" i="10"/>
  <c r="O52" i="10"/>
  <c r="N52" i="10"/>
  <c r="M52" i="10"/>
  <c r="L52" i="10"/>
  <c r="K52" i="10"/>
  <c r="I52" i="10"/>
  <c r="H52" i="10"/>
  <c r="G52" i="10"/>
  <c r="F52" i="10"/>
  <c r="E52" i="10"/>
  <c r="R51" i="10"/>
  <c r="Q51" i="10"/>
  <c r="P51" i="10"/>
  <c r="O51" i="10"/>
  <c r="S51" i="10" s="1"/>
  <c r="N51" i="10"/>
  <c r="M51" i="10"/>
  <c r="L51" i="10"/>
  <c r="K51" i="10"/>
  <c r="I51" i="10"/>
  <c r="H51" i="10"/>
  <c r="G51" i="10"/>
  <c r="F51" i="10"/>
  <c r="E51" i="10"/>
  <c r="R50" i="10"/>
  <c r="T50" i="10" s="1"/>
  <c r="Q50" i="10"/>
  <c r="P50" i="10"/>
  <c r="O50" i="10"/>
  <c r="N50" i="10"/>
  <c r="M50" i="10"/>
  <c r="L50" i="10"/>
  <c r="K50" i="10"/>
  <c r="I50" i="10"/>
  <c r="H50" i="10"/>
  <c r="G50" i="10"/>
  <c r="F50" i="10"/>
  <c r="E50" i="10"/>
  <c r="R49" i="10"/>
  <c r="T49" i="10" s="1"/>
  <c r="Q49" i="10"/>
  <c r="P49" i="10"/>
  <c r="O49" i="10"/>
  <c r="N49" i="10"/>
  <c r="M49" i="10"/>
  <c r="L49" i="10"/>
  <c r="K49" i="10"/>
  <c r="I49" i="10"/>
  <c r="H49" i="10"/>
  <c r="G49" i="10"/>
  <c r="F49" i="10"/>
  <c r="E49" i="10"/>
  <c r="R48" i="10"/>
  <c r="Q48" i="10"/>
  <c r="P48" i="10"/>
  <c r="O48" i="10"/>
  <c r="N48" i="10"/>
  <c r="M48" i="10"/>
  <c r="L48" i="10"/>
  <c r="K48" i="10"/>
  <c r="I48" i="10"/>
  <c r="U48" i="10" s="1"/>
  <c r="H48" i="10"/>
  <c r="G48" i="10"/>
  <c r="F48" i="10"/>
  <c r="T48" i="10" s="1"/>
  <c r="E48" i="10"/>
  <c r="R47" i="10"/>
  <c r="Q47" i="10"/>
  <c r="P47" i="10"/>
  <c r="O47" i="10"/>
  <c r="N47" i="10"/>
  <c r="M47" i="10"/>
  <c r="L47" i="10"/>
  <c r="K47" i="10"/>
  <c r="I47" i="10"/>
  <c r="H47" i="10"/>
  <c r="G47" i="10"/>
  <c r="F47" i="10"/>
  <c r="T47" i="10" s="1"/>
  <c r="E47" i="10"/>
  <c r="R46" i="10"/>
  <c r="T46" i="10" s="1"/>
  <c r="Q46" i="10"/>
  <c r="P46" i="10"/>
  <c r="O46" i="10"/>
  <c r="S46" i="10" s="1"/>
  <c r="N46" i="10"/>
  <c r="M46" i="10"/>
  <c r="L46" i="10"/>
  <c r="K46" i="10"/>
  <c r="I46" i="10"/>
  <c r="H46" i="10"/>
  <c r="G46" i="10"/>
  <c r="F46" i="10"/>
  <c r="E46" i="10"/>
  <c r="R45" i="10"/>
  <c r="T45" i="10" s="1"/>
  <c r="Q45" i="10"/>
  <c r="P45" i="10"/>
  <c r="O45" i="10"/>
  <c r="N45" i="10"/>
  <c r="M45" i="10"/>
  <c r="L45" i="10"/>
  <c r="K45" i="10"/>
  <c r="I45" i="10"/>
  <c r="H45" i="10"/>
  <c r="G45" i="10"/>
  <c r="F45" i="10"/>
  <c r="E45" i="10"/>
  <c r="U44" i="10"/>
  <c r="R44" i="10"/>
  <c r="T44" i="10" s="1"/>
  <c r="Q44" i="10"/>
  <c r="P44" i="10"/>
  <c r="O44" i="10"/>
  <c r="N44" i="10"/>
  <c r="M44" i="10"/>
  <c r="L44" i="10"/>
  <c r="K44" i="10"/>
  <c r="I44" i="10"/>
  <c r="H44" i="10"/>
  <c r="G44" i="10"/>
  <c r="F44" i="10"/>
  <c r="E44" i="10"/>
  <c r="R43" i="10"/>
  <c r="T43" i="10" s="1"/>
  <c r="Q43" i="10"/>
  <c r="P43" i="10"/>
  <c r="O43" i="10"/>
  <c r="N43" i="10"/>
  <c r="M43" i="10"/>
  <c r="L43" i="10"/>
  <c r="K43" i="10"/>
  <c r="I43" i="10"/>
  <c r="U43" i="10" s="1"/>
  <c r="H43" i="10"/>
  <c r="G43" i="10"/>
  <c r="F43" i="10"/>
  <c r="E43" i="10"/>
  <c r="R42" i="10"/>
  <c r="Q42" i="10"/>
  <c r="P42" i="10"/>
  <c r="O42" i="10"/>
  <c r="N42" i="10"/>
  <c r="M42" i="10"/>
  <c r="L42" i="10"/>
  <c r="K42" i="10"/>
  <c r="I42" i="10"/>
  <c r="H42" i="10"/>
  <c r="G42" i="10"/>
  <c r="F42" i="10"/>
  <c r="E42" i="10"/>
  <c r="R41" i="10"/>
  <c r="T41" i="10" s="1"/>
  <c r="Q41" i="10"/>
  <c r="P41" i="10"/>
  <c r="O41" i="10"/>
  <c r="S41" i="10" s="1"/>
  <c r="N41" i="10"/>
  <c r="M41" i="10"/>
  <c r="L41" i="10"/>
  <c r="K41" i="10"/>
  <c r="I41" i="10"/>
  <c r="H41" i="10"/>
  <c r="G41" i="10"/>
  <c r="F41" i="10"/>
  <c r="E41" i="10"/>
  <c r="R40" i="10"/>
  <c r="Q40" i="10"/>
  <c r="P40" i="10"/>
  <c r="O40" i="10"/>
  <c r="U40" i="10" s="1"/>
  <c r="N40" i="10"/>
  <c r="M40" i="10"/>
  <c r="L40" i="10"/>
  <c r="K40" i="10"/>
  <c r="I40" i="10"/>
  <c r="H40" i="10"/>
  <c r="G40" i="10"/>
  <c r="F40" i="10"/>
  <c r="E40" i="10"/>
  <c r="R39" i="10"/>
  <c r="T39" i="10" s="1"/>
  <c r="Q39" i="10"/>
  <c r="P39" i="10"/>
  <c r="O39" i="10"/>
  <c r="N39" i="10"/>
  <c r="M39" i="10"/>
  <c r="L39" i="10"/>
  <c r="K39" i="10"/>
  <c r="I39" i="10"/>
  <c r="H39" i="10"/>
  <c r="G39" i="10"/>
  <c r="F39" i="10"/>
  <c r="E39" i="10"/>
  <c r="R38" i="10"/>
  <c r="Q38" i="10"/>
  <c r="P38" i="10"/>
  <c r="O38" i="10"/>
  <c r="N38" i="10"/>
  <c r="M38" i="10"/>
  <c r="L38" i="10"/>
  <c r="K38" i="10"/>
  <c r="I38" i="10"/>
  <c r="H38" i="10"/>
  <c r="G38" i="10"/>
  <c r="F38" i="10"/>
  <c r="E38" i="10"/>
  <c r="R37" i="10"/>
  <c r="T37" i="10" s="1"/>
  <c r="Q37" i="10"/>
  <c r="P37" i="10"/>
  <c r="O37" i="10"/>
  <c r="N37" i="10"/>
  <c r="M37" i="10"/>
  <c r="L37" i="10"/>
  <c r="K37" i="10"/>
  <c r="I37" i="10"/>
  <c r="H37" i="10"/>
  <c r="G37" i="10"/>
  <c r="F37" i="10"/>
  <c r="E37" i="10"/>
  <c r="U36" i="10"/>
  <c r="R36" i="10"/>
  <c r="T36" i="10" s="1"/>
  <c r="Q36" i="10"/>
  <c r="P36" i="10"/>
  <c r="O36" i="10"/>
  <c r="N36" i="10"/>
  <c r="M36" i="10"/>
  <c r="L36" i="10"/>
  <c r="K36" i="10"/>
  <c r="I36" i="10"/>
  <c r="H36" i="10"/>
  <c r="G36" i="10"/>
  <c r="F36" i="10"/>
  <c r="E36" i="10"/>
  <c r="R35" i="10"/>
  <c r="Q35" i="10"/>
  <c r="P35" i="10"/>
  <c r="O35" i="10"/>
  <c r="N35" i="10"/>
  <c r="M35" i="10"/>
  <c r="L35" i="10"/>
  <c r="K35" i="10"/>
  <c r="I35" i="10"/>
  <c r="H35" i="10"/>
  <c r="G35" i="10"/>
  <c r="F35" i="10"/>
  <c r="E35" i="10"/>
  <c r="R34" i="10"/>
  <c r="Q34" i="10"/>
  <c r="P34" i="10"/>
  <c r="O34" i="10"/>
  <c r="N34" i="10"/>
  <c r="M34" i="10"/>
  <c r="L34" i="10"/>
  <c r="T34" i="10" s="1"/>
  <c r="K34" i="10"/>
  <c r="I34" i="10"/>
  <c r="H34" i="10"/>
  <c r="G34" i="10"/>
  <c r="F34" i="10"/>
  <c r="E34" i="10"/>
  <c r="R33" i="10"/>
  <c r="Q33" i="10"/>
  <c r="P33" i="10"/>
  <c r="O33" i="10"/>
  <c r="S33" i="10" s="1"/>
  <c r="N33" i="10"/>
  <c r="M33" i="10"/>
  <c r="L33" i="10"/>
  <c r="T33" i="10" s="1"/>
  <c r="K33" i="10"/>
  <c r="I33" i="10"/>
  <c r="U33" i="10" s="1"/>
  <c r="H33" i="10"/>
  <c r="G33" i="10"/>
  <c r="F33" i="10"/>
  <c r="E33" i="10"/>
  <c r="R32" i="10"/>
  <c r="Q32" i="10"/>
  <c r="P32" i="10"/>
  <c r="O32" i="10"/>
  <c r="U32" i="10" s="1"/>
  <c r="N32" i="10"/>
  <c r="M32" i="10"/>
  <c r="L32" i="10"/>
  <c r="K32" i="10"/>
  <c r="I32" i="10"/>
  <c r="H32" i="10"/>
  <c r="G32" i="10"/>
  <c r="F32" i="10"/>
  <c r="E32" i="10"/>
  <c r="R31" i="10"/>
  <c r="T31" i="10" s="1"/>
  <c r="Q31" i="10"/>
  <c r="P31" i="10"/>
  <c r="O31" i="10"/>
  <c r="N31" i="10"/>
  <c r="M31" i="10"/>
  <c r="L31" i="10"/>
  <c r="K31" i="10"/>
  <c r="I31" i="10"/>
  <c r="H31" i="10"/>
  <c r="G31" i="10"/>
  <c r="F31" i="10"/>
  <c r="E31" i="10"/>
  <c r="R30" i="10"/>
  <c r="Q30" i="10"/>
  <c r="P30" i="10"/>
  <c r="O30" i="10"/>
  <c r="N30" i="10"/>
  <c r="M30" i="10"/>
  <c r="L30" i="10"/>
  <c r="K30" i="10"/>
  <c r="I30" i="10"/>
  <c r="H30" i="10"/>
  <c r="G30" i="10"/>
  <c r="F30" i="10"/>
  <c r="E30" i="10"/>
  <c r="U29" i="10"/>
  <c r="R29" i="10"/>
  <c r="T29" i="10" s="1"/>
  <c r="Q29" i="10"/>
  <c r="P29" i="10"/>
  <c r="O29" i="10"/>
  <c r="N29" i="10"/>
  <c r="M29" i="10"/>
  <c r="L29" i="10"/>
  <c r="K29" i="10"/>
  <c r="I29" i="10"/>
  <c r="H29" i="10"/>
  <c r="G29" i="10"/>
  <c r="F29" i="10"/>
  <c r="E29" i="10"/>
  <c r="U28" i="10"/>
  <c r="R28" i="10"/>
  <c r="T28" i="10" s="1"/>
  <c r="Q28" i="10"/>
  <c r="P28" i="10"/>
  <c r="O28" i="10"/>
  <c r="S28" i="10" s="1"/>
  <c r="N28" i="10"/>
  <c r="M28" i="10"/>
  <c r="L28" i="10"/>
  <c r="K28" i="10"/>
  <c r="I28" i="10"/>
  <c r="H28" i="10"/>
  <c r="G28" i="10"/>
  <c r="F28" i="10"/>
  <c r="E28" i="10"/>
  <c r="R27" i="10"/>
  <c r="Q27" i="10"/>
  <c r="P27" i="10"/>
  <c r="O27" i="10"/>
  <c r="N27" i="10"/>
  <c r="M27" i="10"/>
  <c r="L27" i="10"/>
  <c r="K27" i="10"/>
  <c r="I27" i="10"/>
  <c r="H27" i="10"/>
  <c r="G27" i="10"/>
  <c r="F27" i="10"/>
  <c r="E27" i="10"/>
  <c r="R26" i="10"/>
  <c r="Q26" i="10"/>
  <c r="P26" i="10"/>
  <c r="O26" i="10"/>
  <c r="N26" i="10"/>
  <c r="M26" i="10"/>
  <c r="L26" i="10"/>
  <c r="T26" i="10" s="1"/>
  <c r="K26" i="10"/>
  <c r="I26" i="10"/>
  <c r="H26" i="10"/>
  <c r="G26" i="10"/>
  <c r="F26" i="10"/>
  <c r="E26" i="10"/>
  <c r="R25" i="10"/>
  <c r="Q25" i="10"/>
  <c r="P25" i="10"/>
  <c r="O25" i="10"/>
  <c r="S25" i="10" s="1"/>
  <c r="N25" i="10"/>
  <c r="M25" i="10"/>
  <c r="L25" i="10"/>
  <c r="T25" i="10" s="1"/>
  <c r="K25" i="10"/>
  <c r="I25" i="10"/>
  <c r="H25" i="10"/>
  <c r="G25" i="10"/>
  <c r="F25" i="10"/>
  <c r="E25" i="10"/>
  <c r="R24" i="10"/>
  <c r="T24" i="10" s="1"/>
  <c r="Q24" i="10"/>
  <c r="P24" i="10"/>
  <c r="O24" i="10"/>
  <c r="U24" i="10" s="1"/>
  <c r="N24" i="10"/>
  <c r="M24" i="10"/>
  <c r="L24" i="10"/>
  <c r="K24" i="10"/>
  <c r="I24" i="10"/>
  <c r="H24" i="10"/>
  <c r="G24" i="10"/>
  <c r="F24" i="10"/>
  <c r="E24" i="10"/>
  <c r="R23" i="10"/>
  <c r="T23" i="10" s="1"/>
  <c r="Q23" i="10"/>
  <c r="P23" i="10"/>
  <c r="O23" i="10"/>
  <c r="N23" i="10"/>
  <c r="M23" i="10"/>
  <c r="L23" i="10"/>
  <c r="K23" i="10"/>
  <c r="I23" i="10"/>
  <c r="H23" i="10"/>
  <c r="G23" i="10"/>
  <c r="F23" i="10"/>
  <c r="E23" i="10"/>
  <c r="R22" i="10"/>
  <c r="Q22" i="10"/>
  <c r="P22" i="10"/>
  <c r="O22" i="10"/>
  <c r="N22" i="10"/>
  <c r="M22" i="10"/>
  <c r="L22" i="10"/>
  <c r="K22" i="10"/>
  <c r="I22" i="10"/>
  <c r="H22" i="10"/>
  <c r="G22" i="10"/>
  <c r="F22" i="10"/>
  <c r="E22" i="10"/>
  <c r="U21" i="10"/>
  <c r="T21" i="10"/>
  <c r="R21" i="10"/>
  <c r="Q21" i="10"/>
  <c r="P21" i="10"/>
  <c r="O21" i="10"/>
  <c r="S21" i="10" s="1"/>
  <c r="N21" i="10"/>
  <c r="M21" i="10"/>
  <c r="L21" i="10"/>
  <c r="K21" i="10"/>
  <c r="I21" i="10"/>
  <c r="H21" i="10"/>
  <c r="G21" i="10"/>
  <c r="F21" i="10"/>
  <c r="E21" i="10"/>
  <c r="R20" i="10"/>
  <c r="Q20" i="10"/>
  <c r="P20" i="10"/>
  <c r="O20" i="10"/>
  <c r="U20" i="10" s="1"/>
  <c r="N20" i="10"/>
  <c r="M20" i="10"/>
  <c r="L20" i="10"/>
  <c r="K20" i="10"/>
  <c r="I20" i="10"/>
  <c r="H20" i="10"/>
  <c r="G20" i="10"/>
  <c r="F20" i="10"/>
  <c r="E20" i="10"/>
  <c r="R19" i="10"/>
  <c r="Q19" i="10"/>
  <c r="P19" i="10"/>
  <c r="O19" i="10"/>
  <c r="N19" i="10"/>
  <c r="M19" i="10"/>
  <c r="L19" i="10"/>
  <c r="K19" i="10"/>
  <c r="I19" i="10"/>
  <c r="H19" i="10"/>
  <c r="G19" i="10"/>
  <c r="F19" i="10"/>
  <c r="E19" i="10"/>
  <c r="R18" i="10"/>
  <c r="Q18" i="10"/>
  <c r="P18" i="10"/>
  <c r="O18" i="10"/>
  <c r="N18" i="10"/>
  <c r="M18" i="10"/>
  <c r="L18" i="10"/>
  <c r="T18" i="10" s="1"/>
  <c r="K18" i="10"/>
  <c r="I18" i="10"/>
  <c r="H18" i="10"/>
  <c r="G18" i="10"/>
  <c r="F18" i="10"/>
  <c r="E18" i="10"/>
  <c r="R17" i="10"/>
  <c r="Q17" i="10"/>
  <c r="P17" i="10"/>
  <c r="O17" i="10"/>
  <c r="S17" i="10" s="1"/>
  <c r="N17" i="10"/>
  <c r="M17" i="10"/>
  <c r="L17" i="10"/>
  <c r="K17" i="10"/>
  <c r="I17" i="10"/>
  <c r="H17" i="10"/>
  <c r="G17" i="10"/>
  <c r="F17" i="10"/>
  <c r="E17" i="10"/>
  <c r="E15" i="8"/>
  <c r="C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E27" i="7"/>
  <c r="E26" i="7"/>
  <c r="A26" i="7"/>
  <c r="E25" i="7"/>
  <c r="C25" i="7"/>
  <c r="E24" i="7"/>
  <c r="E23" i="7"/>
  <c r="E22" i="7"/>
  <c r="C22" i="7"/>
  <c r="D22" i="7" s="1"/>
  <c r="E21" i="7"/>
  <c r="E20" i="7"/>
  <c r="E19" i="7"/>
  <c r="C19" i="7"/>
  <c r="D19" i="7" s="1"/>
  <c r="A19" i="7"/>
  <c r="E18" i="7"/>
  <c r="E17" i="7"/>
  <c r="E16" i="7"/>
  <c r="C16" i="7"/>
  <c r="E15" i="7"/>
  <c r="E14" i="7"/>
  <c r="C14" i="7"/>
  <c r="D14" i="7" s="1"/>
  <c r="A14" i="7"/>
  <c r="E13" i="7"/>
  <c r="C13" i="7"/>
  <c r="D13" i="7" s="1"/>
  <c r="L12" i="7"/>
  <c r="E12" i="7"/>
  <c r="E11" i="7"/>
  <c r="E10" i="7"/>
  <c r="C10" i="7"/>
  <c r="E9" i="7"/>
  <c r="E8" i="7"/>
  <c r="A8" i="7"/>
  <c r="E7" i="7"/>
  <c r="C7" i="7"/>
  <c r="A7" i="7"/>
  <c r="E6" i="7"/>
  <c r="E5" i="7"/>
  <c r="E4" i="7"/>
  <c r="C4" i="7"/>
  <c r="C5" i="5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H4" i="4"/>
  <c r="F4" i="4"/>
  <c r="D4" i="4"/>
  <c r="S27" i="2"/>
  <c r="R27" i="2"/>
  <c r="C27" i="7" s="1"/>
  <c r="D27" i="7" s="1"/>
  <c r="Q27" i="2"/>
  <c r="B27" i="7" s="1"/>
  <c r="L27" i="2"/>
  <c r="K27" i="2"/>
  <c r="C27" i="2"/>
  <c r="B27" i="2"/>
  <c r="A27" i="2"/>
  <c r="A27" i="7" s="1"/>
  <c r="R26" i="2"/>
  <c r="C26" i="7" s="1"/>
  <c r="D26" i="7" s="1"/>
  <c r="Q26" i="2"/>
  <c r="B26" i="7" s="1"/>
  <c r="L26" i="2"/>
  <c r="C26" i="2"/>
  <c r="B26" i="2"/>
  <c r="A26" i="2"/>
  <c r="R25" i="2"/>
  <c r="Q25" i="2"/>
  <c r="C25" i="2"/>
  <c r="B25" i="2"/>
  <c r="A25" i="2"/>
  <c r="A25" i="7" s="1"/>
  <c r="R24" i="2"/>
  <c r="Q24" i="2"/>
  <c r="B24" i="7" s="1"/>
  <c r="C24" i="2"/>
  <c r="B24" i="2"/>
  <c r="A24" i="2"/>
  <c r="A24" i="7" s="1"/>
  <c r="R23" i="2"/>
  <c r="S23" i="2" s="1"/>
  <c r="Q23" i="2"/>
  <c r="B23" i="7" s="1"/>
  <c r="C23" i="2"/>
  <c r="B23" i="2"/>
  <c r="A23" i="2"/>
  <c r="A23" i="7" s="1"/>
  <c r="R22" i="2"/>
  <c r="Q22" i="2"/>
  <c r="B22" i="7" s="1"/>
  <c r="I22" i="2"/>
  <c r="C22" i="2"/>
  <c r="B22" i="2"/>
  <c r="A22" i="2"/>
  <c r="A22" i="7" s="1"/>
  <c r="R21" i="2"/>
  <c r="S21" i="2" s="1"/>
  <c r="Q21" i="2"/>
  <c r="B21" i="7" s="1"/>
  <c r="C21" i="2"/>
  <c r="B21" i="2"/>
  <c r="A21" i="2"/>
  <c r="A21" i="7" s="1"/>
  <c r="R20" i="2"/>
  <c r="C20" i="7" s="1"/>
  <c r="D20" i="7" s="1"/>
  <c r="Q20" i="2"/>
  <c r="B20" i="7" s="1"/>
  <c r="M20" i="2"/>
  <c r="C20" i="2"/>
  <c r="B20" i="2"/>
  <c r="A20" i="2"/>
  <c r="A20" i="7" s="1"/>
  <c r="S19" i="2"/>
  <c r="R19" i="2"/>
  <c r="Q19" i="2"/>
  <c r="B19" i="7" s="1"/>
  <c r="M19" i="2"/>
  <c r="E19" i="2"/>
  <c r="C19" i="2"/>
  <c r="B19" i="2"/>
  <c r="A19" i="2"/>
  <c r="S18" i="2"/>
  <c r="R18" i="2"/>
  <c r="C18" i="7" s="1"/>
  <c r="Q18" i="2"/>
  <c r="B18" i="7" s="1"/>
  <c r="K18" i="2"/>
  <c r="I18" i="2"/>
  <c r="E18" i="2"/>
  <c r="C18" i="2"/>
  <c r="B18" i="2"/>
  <c r="A18" i="2"/>
  <c r="A18" i="7" s="1"/>
  <c r="R17" i="2"/>
  <c r="Q17" i="2"/>
  <c r="B17" i="7" s="1"/>
  <c r="C17" i="2"/>
  <c r="B17" i="2"/>
  <c r="A17" i="2"/>
  <c r="A17" i="7" s="1"/>
  <c r="R16" i="2"/>
  <c r="Q16" i="2"/>
  <c r="M16" i="2"/>
  <c r="K16" i="2"/>
  <c r="C16" i="2"/>
  <c r="B16" i="2"/>
  <c r="A16" i="2"/>
  <c r="A16" i="7" s="1"/>
  <c r="R15" i="2"/>
  <c r="Q15" i="2"/>
  <c r="B15" i="7" s="1"/>
  <c r="I15" i="2"/>
  <c r="C15" i="2"/>
  <c r="B15" i="2"/>
  <c r="A15" i="2"/>
  <c r="A15" i="7" s="1"/>
  <c r="R14" i="2"/>
  <c r="S14" i="2" s="1"/>
  <c r="Q14" i="2"/>
  <c r="B14" i="7" s="1"/>
  <c r="C14" i="2"/>
  <c r="B14" i="2"/>
  <c r="A14" i="2"/>
  <c r="S13" i="2"/>
  <c r="R13" i="2"/>
  <c r="Q13" i="2"/>
  <c r="B13" i="7" s="1"/>
  <c r="J13" i="2"/>
  <c r="C13" i="2"/>
  <c r="B13" i="2"/>
  <c r="A13" i="2"/>
  <c r="A13" i="7" s="1"/>
  <c r="S12" i="2"/>
  <c r="R12" i="2"/>
  <c r="C12" i="7" s="1"/>
  <c r="D12" i="7" s="1"/>
  <c r="F12" i="7" s="1"/>
  <c r="Q12" i="2"/>
  <c r="B12" i="7" s="1"/>
  <c r="M12" i="2"/>
  <c r="I12" i="2"/>
  <c r="C12" i="2"/>
  <c r="B12" i="2"/>
  <c r="A12" i="2"/>
  <c r="A12" i="7" s="1"/>
  <c r="R11" i="2"/>
  <c r="C11" i="7" s="1"/>
  <c r="D11" i="7" s="1"/>
  <c r="F11" i="7" s="1"/>
  <c r="Q11" i="2"/>
  <c r="B11" i="7" s="1"/>
  <c r="C11" i="2"/>
  <c r="B11" i="2"/>
  <c r="A11" i="2"/>
  <c r="A11" i="7" s="1"/>
  <c r="R10" i="2"/>
  <c r="Q10" i="2"/>
  <c r="B10" i="7" s="1"/>
  <c r="E10" i="2"/>
  <c r="C10" i="2"/>
  <c r="B10" i="2"/>
  <c r="A10" i="2"/>
  <c r="A10" i="7" s="1"/>
  <c r="R9" i="2"/>
  <c r="C9" i="7" s="1"/>
  <c r="D9" i="7" s="1"/>
  <c r="Q9" i="2"/>
  <c r="B9" i="7" s="1"/>
  <c r="M9" i="2"/>
  <c r="C9" i="2"/>
  <c r="B9" i="2"/>
  <c r="A9" i="2"/>
  <c r="A9" i="7" s="1"/>
  <c r="R8" i="2"/>
  <c r="S8" i="2" s="1"/>
  <c r="Q8" i="2"/>
  <c r="B8" i="7" s="1"/>
  <c r="C8" i="2"/>
  <c r="B8" i="2"/>
  <c r="A8" i="2"/>
  <c r="R7" i="2"/>
  <c r="Q7" i="2"/>
  <c r="J7" i="2"/>
  <c r="H7" i="2"/>
  <c r="C7" i="2"/>
  <c r="B7" i="2"/>
  <c r="A7" i="2"/>
  <c r="R6" i="2"/>
  <c r="Q6" i="2"/>
  <c r="B6" i="7" s="1"/>
  <c r="C6" i="2"/>
  <c r="B6" i="2"/>
  <c r="A6" i="2"/>
  <c r="A6" i="7" s="1"/>
  <c r="R5" i="2"/>
  <c r="S5" i="2" s="1"/>
  <c r="Q5" i="2"/>
  <c r="B5" i="7" s="1"/>
  <c r="C5" i="2"/>
  <c r="B5" i="2"/>
  <c r="A5" i="2"/>
  <c r="A5" i="7" s="1"/>
  <c r="R4" i="2"/>
  <c r="Q4" i="2"/>
  <c r="M4" i="2"/>
  <c r="J4" i="2"/>
  <c r="C4" i="2"/>
  <c r="B4" i="2"/>
  <c r="A4" i="2"/>
  <c r="Z34" i="10" s="1"/>
  <c r="F82" i="1"/>
  <c r="D82" i="1"/>
  <c r="B82" i="1"/>
  <c r="AE80" i="1"/>
  <c r="AD80" i="1"/>
  <c r="AF79" i="1"/>
  <c r="X79" i="1"/>
  <c r="V79" i="1"/>
  <c r="F27" i="2" s="1"/>
  <c r="P79" i="1"/>
  <c r="M27" i="2" s="1"/>
  <c r="O79" i="1"/>
  <c r="N79" i="1"/>
  <c r="M79" i="1"/>
  <c r="AA79" i="1" s="1"/>
  <c r="C39" i="4" s="1"/>
  <c r="K79" i="1"/>
  <c r="J79" i="1"/>
  <c r="I79" i="1"/>
  <c r="I27" i="2" s="1"/>
  <c r="H79" i="1"/>
  <c r="E27" i="2" s="1"/>
  <c r="G79" i="1"/>
  <c r="F79" i="1"/>
  <c r="E79" i="1"/>
  <c r="D27" i="2" s="1"/>
  <c r="D79" i="1"/>
  <c r="B65" i="14" s="1"/>
  <c r="AF78" i="1"/>
  <c r="AA78" i="1"/>
  <c r="C38" i="4" s="1"/>
  <c r="Y78" i="1"/>
  <c r="P78" i="1"/>
  <c r="O78" i="1"/>
  <c r="N78" i="1"/>
  <c r="K26" i="2" s="1"/>
  <c r="M78" i="1"/>
  <c r="L78" i="1"/>
  <c r="K78" i="1"/>
  <c r="J78" i="1"/>
  <c r="I78" i="1"/>
  <c r="I26" i="2" s="1"/>
  <c r="H78" i="1"/>
  <c r="X78" i="1" s="1"/>
  <c r="G78" i="1"/>
  <c r="F78" i="1"/>
  <c r="E78" i="1"/>
  <c r="D26" i="2" s="1"/>
  <c r="D78" i="1"/>
  <c r="B64" i="14" s="1"/>
  <c r="AF77" i="1"/>
  <c r="Y77" i="1"/>
  <c r="V77" i="1"/>
  <c r="P77" i="1"/>
  <c r="M25" i="2" s="1"/>
  <c r="O77" i="1"/>
  <c r="L25" i="2" s="1"/>
  <c r="N77" i="1"/>
  <c r="K25" i="2" s="1"/>
  <c r="M77" i="1"/>
  <c r="AA77" i="1" s="1"/>
  <c r="C37" i="4" s="1"/>
  <c r="L77" i="1"/>
  <c r="K77" i="1"/>
  <c r="J77" i="1"/>
  <c r="U63" i="14" s="1"/>
  <c r="I77" i="1"/>
  <c r="I25" i="2" s="1"/>
  <c r="H77" i="1"/>
  <c r="E25" i="2" s="1"/>
  <c r="G77" i="1"/>
  <c r="F77" i="1"/>
  <c r="E77" i="1"/>
  <c r="AB77" i="1" s="1"/>
  <c r="D37" i="4" s="1"/>
  <c r="D77" i="1"/>
  <c r="B63" i="14" s="1"/>
  <c r="AF76" i="1"/>
  <c r="X76" i="1"/>
  <c r="P76" i="1"/>
  <c r="Z76" i="1" s="1"/>
  <c r="O76" i="1"/>
  <c r="L24" i="2" s="1"/>
  <c r="N76" i="1"/>
  <c r="K24" i="2" s="1"/>
  <c r="M76" i="1"/>
  <c r="AA76" i="1" s="1"/>
  <c r="C36" i="4" s="1"/>
  <c r="L76" i="1"/>
  <c r="K76" i="1"/>
  <c r="J76" i="1"/>
  <c r="Y76" i="1" s="1"/>
  <c r="I76" i="1"/>
  <c r="I24" i="2" s="1"/>
  <c r="H76" i="1"/>
  <c r="G76" i="1"/>
  <c r="F76" i="1"/>
  <c r="E76" i="1"/>
  <c r="D24" i="2" s="1"/>
  <c r="D76" i="1"/>
  <c r="B62" i="14" s="1"/>
  <c r="AF75" i="1"/>
  <c r="Z75" i="1"/>
  <c r="B35" i="4" s="1"/>
  <c r="P75" i="1"/>
  <c r="M23" i="2" s="1"/>
  <c r="O75" i="1"/>
  <c r="L23" i="2" s="1"/>
  <c r="N75" i="1"/>
  <c r="K23" i="2" s="1"/>
  <c r="M75" i="1"/>
  <c r="L75" i="1"/>
  <c r="K75" i="1"/>
  <c r="J75" i="1"/>
  <c r="U61" i="14" s="1"/>
  <c r="I75" i="1"/>
  <c r="I23" i="2" s="1"/>
  <c r="H75" i="1"/>
  <c r="E23" i="2" s="1"/>
  <c r="G75" i="1"/>
  <c r="F75" i="1"/>
  <c r="E75" i="1"/>
  <c r="D23" i="2" s="1"/>
  <c r="D75" i="1"/>
  <c r="B61" i="14" s="1"/>
  <c r="AF74" i="1"/>
  <c r="Y74" i="1"/>
  <c r="P74" i="1"/>
  <c r="M22" i="2" s="1"/>
  <c r="O74" i="1"/>
  <c r="L22" i="2" s="1"/>
  <c r="N74" i="1"/>
  <c r="K22" i="2" s="1"/>
  <c r="M74" i="1"/>
  <c r="AA74" i="1" s="1"/>
  <c r="C34" i="4" s="1"/>
  <c r="L74" i="1"/>
  <c r="K74" i="1"/>
  <c r="J74" i="1"/>
  <c r="U60" i="14" s="1"/>
  <c r="I74" i="1"/>
  <c r="H74" i="1"/>
  <c r="X74" i="1" s="1"/>
  <c r="G74" i="1"/>
  <c r="F74" i="1"/>
  <c r="E74" i="1"/>
  <c r="D22" i="2" s="1"/>
  <c r="D74" i="1"/>
  <c r="B60" i="14" s="1"/>
  <c r="AF73" i="1"/>
  <c r="X73" i="1"/>
  <c r="V73" i="1"/>
  <c r="W73" i="1" s="1"/>
  <c r="G21" i="2" s="1"/>
  <c r="P73" i="1"/>
  <c r="M21" i="2" s="1"/>
  <c r="O73" i="1"/>
  <c r="L21" i="2" s="1"/>
  <c r="N73" i="1"/>
  <c r="K21" i="2" s="1"/>
  <c r="M73" i="1"/>
  <c r="AA73" i="1" s="1"/>
  <c r="C33" i="4" s="1"/>
  <c r="K73" i="1"/>
  <c r="J73" i="1"/>
  <c r="I73" i="1"/>
  <c r="I21" i="2" s="1"/>
  <c r="H73" i="1"/>
  <c r="E21" i="2" s="1"/>
  <c r="G73" i="1"/>
  <c r="F73" i="1"/>
  <c r="E73" i="1"/>
  <c r="D73" i="1"/>
  <c r="B59" i="14" s="1"/>
  <c r="AF72" i="1"/>
  <c r="Z72" i="1"/>
  <c r="P72" i="1"/>
  <c r="O72" i="1"/>
  <c r="L20" i="2" s="1"/>
  <c r="N72" i="1"/>
  <c r="K20" i="2" s="1"/>
  <c r="M72" i="1"/>
  <c r="K72" i="1"/>
  <c r="J72" i="1"/>
  <c r="Y72" i="1" s="1"/>
  <c r="I72" i="1"/>
  <c r="I20" i="2" s="1"/>
  <c r="H72" i="1"/>
  <c r="X72" i="1" s="1"/>
  <c r="G72" i="1"/>
  <c r="F72" i="1"/>
  <c r="E72" i="1"/>
  <c r="D20" i="2" s="1"/>
  <c r="D72" i="1"/>
  <c r="B58" i="14" s="1"/>
  <c r="AF71" i="1"/>
  <c r="X71" i="1"/>
  <c r="P71" i="1"/>
  <c r="Z71" i="1" s="1"/>
  <c r="B31" i="4" s="1"/>
  <c r="O71" i="1"/>
  <c r="L19" i="2" s="1"/>
  <c r="N71" i="1"/>
  <c r="K19" i="2" s="1"/>
  <c r="M71" i="1"/>
  <c r="J19" i="2" s="1"/>
  <c r="K71" i="1"/>
  <c r="J71" i="1"/>
  <c r="U57" i="14" s="1"/>
  <c r="I71" i="1"/>
  <c r="I19" i="2" s="1"/>
  <c r="H71" i="1"/>
  <c r="V71" i="1" s="1"/>
  <c r="G71" i="1"/>
  <c r="F71" i="1"/>
  <c r="E71" i="1"/>
  <c r="D19" i="2" s="1"/>
  <c r="D71" i="1"/>
  <c r="B57" i="14" s="1"/>
  <c r="AF70" i="1"/>
  <c r="X70" i="1"/>
  <c r="V70" i="1"/>
  <c r="F18" i="2" s="1"/>
  <c r="P70" i="1"/>
  <c r="Z70" i="1" s="1"/>
  <c r="O70" i="1"/>
  <c r="L18" i="2" s="1"/>
  <c r="N70" i="1"/>
  <c r="M70" i="1"/>
  <c r="J18" i="2" s="1"/>
  <c r="K70" i="1"/>
  <c r="J70" i="1"/>
  <c r="I70" i="1"/>
  <c r="H70" i="1"/>
  <c r="G70" i="1"/>
  <c r="F70" i="1"/>
  <c r="E70" i="1"/>
  <c r="D18" i="2" s="1"/>
  <c r="D70" i="1"/>
  <c r="B56" i="14" s="1"/>
  <c r="AF69" i="1"/>
  <c r="AB69" i="1"/>
  <c r="D29" i="4" s="1"/>
  <c r="Z69" i="1"/>
  <c r="P69" i="1"/>
  <c r="O69" i="1"/>
  <c r="L17" i="2" s="1"/>
  <c r="N69" i="1"/>
  <c r="K17" i="2" s="1"/>
  <c r="M69" i="1"/>
  <c r="AA69" i="1" s="1"/>
  <c r="C29" i="4" s="1"/>
  <c r="K69" i="1"/>
  <c r="J69" i="1"/>
  <c r="H17" i="2" s="1"/>
  <c r="I69" i="1"/>
  <c r="I17" i="2" s="1"/>
  <c r="H69" i="1"/>
  <c r="V69" i="1" s="1"/>
  <c r="W69" i="1" s="1"/>
  <c r="G17" i="2" s="1"/>
  <c r="G69" i="1"/>
  <c r="F69" i="1"/>
  <c r="E69" i="1"/>
  <c r="D17" i="2" s="1"/>
  <c r="D69" i="1"/>
  <c r="B55" i="14" s="1"/>
  <c r="AF68" i="1"/>
  <c r="X68" i="1"/>
  <c r="V68" i="1"/>
  <c r="F16" i="2" s="1"/>
  <c r="P68" i="1"/>
  <c r="Z68" i="1" s="1"/>
  <c r="B28" i="4" s="1"/>
  <c r="O68" i="1"/>
  <c r="L16" i="2" s="1"/>
  <c r="N68" i="1"/>
  <c r="M68" i="1"/>
  <c r="J16" i="2" s="1"/>
  <c r="L68" i="1"/>
  <c r="K68" i="1"/>
  <c r="J68" i="1"/>
  <c r="U54" i="14" s="1"/>
  <c r="I68" i="1"/>
  <c r="I16" i="2" s="1"/>
  <c r="H68" i="1"/>
  <c r="E16" i="2" s="1"/>
  <c r="G68" i="1"/>
  <c r="F68" i="1"/>
  <c r="E68" i="1"/>
  <c r="D16" i="2" s="1"/>
  <c r="D68" i="1"/>
  <c r="B54" i="14" s="1"/>
  <c r="AF67" i="1"/>
  <c r="Y67" i="1"/>
  <c r="P67" i="1"/>
  <c r="O67" i="1"/>
  <c r="L15" i="2" s="1"/>
  <c r="N67" i="1"/>
  <c r="K15" i="2" s="1"/>
  <c r="M67" i="1"/>
  <c r="J15" i="2" s="1"/>
  <c r="L67" i="1"/>
  <c r="K67" i="1"/>
  <c r="J67" i="1"/>
  <c r="I67" i="1"/>
  <c r="H67" i="1"/>
  <c r="E15" i="2" s="1"/>
  <c r="G67" i="1"/>
  <c r="F67" i="1"/>
  <c r="E67" i="1"/>
  <c r="D15" i="2" s="1"/>
  <c r="D67" i="1"/>
  <c r="B53" i="14" s="1"/>
  <c r="AF66" i="1"/>
  <c r="Z66" i="1"/>
  <c r="X66" i="1"/>
  <c r="V66" i="1"/>
  <c r="W66" i="1" s="1"/>
  <c r="G14" i="2" s="1"/>
  <c r="P66" i="1"/>
  <c r="M14" i="2" s="1"/>
  <c r="O66" i="1"/>
  <c r="L14" i="2" s="1"/>
  <c r="N66" i="1"/>
  <c r="K14" i="2" s="1"/>
  <c r="M66" i="1"/>
  <c r="L66" i="1"/>
  <c r="K66" i="1"/>
  <c r="J66" i="1"/>
  <c r="I66" i="1"/>
  <c r="I14" i="2" s="1"/>
  <c r="H66" i="1"/>
  <c r="E14" i="2" s="1"/>
  <c r="G66" i="1"/>
  <c r="F66" i="1"/>
  <c r="E66" i="1"/>
  <c r="D14" i="2" s="1"/>
  <c r="D66" i="1"/>
  <c r="B52" i="14" s="1"/>
  <c r="AF65" i="1"/>
  <c r="AA65" i="1"/>
  <c r="C25" i="4" s="1"/>
  <c r="V65" i="1"/>
  <c r="F13" i="2" s="1"/>
  <c r="P65" i="1"/>
  <c r="Z65" i="1" s="1"/>
  <c r="B25" i="4" s="1"/>
  <c r="O65" i="1"/>
  <c r="L13" i="2" s="1"/>
  <c r="N65" i="1"/>
  <c r="K13" i="2" s="1"/>
  <c r="M65" i="1"/>
  <c r="L65" i="1"/>
  <c r="K65" i="1"/>
  <c r="J65" i="1"/>
  <c r="H13" i="2" s="1"/>
  <c r="I65" i="1"/>
  <c r="I13" i="2" s="1"/>
  <c r="H65" i="1"/>
  <c r="X65" i="1" s="1"/>
  <c r="G65" i="1"/>
  <c r="F65" i="1"/>
  <c r="E65" i="1"/>
  <c r="D13" i="2" s="1"/>
  <c r="D65" i="1"/>
  <c r="B51" i="14" s="1"/>
  <c r="AF64" i="1"/>
  <c r="Z64" i="1"/>
  <c r="P64" i="1"/>
  <c r="O64" i="1"/>
  <c r="L12" i="2" s="1"/>
  <c r="N64" i="1"/>
  <c r="K12" i="2" s="1"/>
  <c r="M64" i="1"/>
  <c r="L64" i="1"/>
  <c r="K64" i="1"/>
  <c r="J64" i="1"/>
  <c r="Y64" i="1" s="1"/>
  <c r="I64" i="1"/>
  <c r="H64" i="1"/>
  <c r="X64" i="1" s="1"/>
  <c r="G64" i="1"/>
  <c r="F64" i="1"/>
  <c r="E64" i="1"/>
  <c r="D12" i="2" s="1"/>
  <c r="D64" i="1"/>
  <c r="B50" i="14" s="1"/>
  <c r="AF63" i="1"/>
  <c r="X63" i="1"/>
  <c r="P63" i="1"/>
  <c r="M11" i="2" s="1"/>
  <c r="O63" i="1"/>
  <c r="L11" i="2" s="1"/>
  <c r="N63" i="1"/>
  <c r="K11" i="2" s="1"/>
  <c r="M63" i="1"/>
  <c r="AA63" i="1" s="1"/>
  <c r="C23" i="4" s="1"/>
  <c r="K63" i="1"/>
  <c r="J63" i="1"/>
  <c r="U49" i="14" s="1"/>
  <c r="I63" i="1"/>
  <c r="I11" i="2" s="1"/>
  <c r="H63" i="1"/>
  <c r="G63" i="1"/>
  <c r="F63" i="1"/>
  <c r="E63" i="1"/>
  <c r="D63" i="1"/>
  <c r="B49" i="14" s="1"/>
  <c r="AF62" i="1"/>
  <c r="Y62" i="1"/>
  <c r="X62" i="1"/>
  <c r="V62" i="1"/>
  <c r="F10" i="2" s="1"/>
  <c r="P62" i="1"/>
  <c r="O62" i="1"/>
  <c r="L10" i="2" s="1"/>
  <c r="N62" i="1"/>
  <c r="K10" i="2" s="1"/>
  <c r="M62" i="1"/>
  <c r="AA62" i="1" s="1"/>
  <c r="C22" i="4" s="1"/>
  <c r="K62" i="1"/>
  <c r="J62" i="1"/>
  <c r="I62" i="1"/>
  <c r="I10" i="2" s="1"/>
  <c r="H62" i="1"/>
  <c r="G62" i="1"/>
  <c r="F62" i="1"/>
  <c r="E62" i="1"/>
  <c r="AB62" i="1" s="1"/>
  <c r="D22" i="4" s="1"/>
  <c r="D62" i="1"/>
  <c r="B48" i="14" s="1"/>
  <c r="AF61" i="1"/>
  <c r="P61" i="1"/>
  <c r="Z61" i="1" s="1"/>
  <c r="O61" i="1"/>
  <c r="L9" i="2" s="1"/>
  <c r="N61" i="1"/>
  <c r="K9" i="2" s="1"/>
  <c r="M61" i="1"/>
  <c r="AA61" i="1" s="1"/>
  <c r="C21" i="4" s="1"/>
  <c r="K61" i="1"/>
  <c r="J61" i="1"/>
  <c r="I61" i="1"/>
  <c r="I9" i="2" s="1"/>
  <c r="H61" i="1"/>
  <c r="X61" i="1" s="1"/>
  <c r="G61" i="1"/>
  <c r="F61" i="1"/>
  <c r="E61" i="1"/>
  <c r="D9" i="2" s="1"/>
  <c r="D61" i="1"/>
  <c r="B47" i="14" s="1"/>
  <c r="AF60" i="1"/>
  <c r="X60" i="1"/>
  <c r="P60" i="1"/>
  <c r="O60" i="1"/>
  <c r="L8" i="2" s="1"/>
  <c r="N60" i="1"/>
  <c r="K8" i="2" s="1"/>
  <c r="M60" i="1"/>
  <c r="AA60" i="1" s="1"/>
  <c r="C20" i="4" s="1"/>
  <c r="L60" i="1"/>
  <c r="K60" i="1"/>
  <c r="J60" i="1"/>
  <c r="U46" i="14" s="1"/>
  <c r="I60" i="1"/>
  <c r="I8" i="2" s="1"/>
  <c r="H60" i="1"/>
  <c r="E8" i="2" s="1"/>
  <c r="G60" i="1"/>
  <c r="F60" i="1"/>
  <c r="E60" i="1"/>
  <c r="D8" i="2" s="1"/>
  <c r="D60" i="1"/>
  <c r="B46" i="14" s="1"/>
  <c r="AF59" i="1"/>
  <c r="Y59" i="1"/>
  <c r="X59" i="1"/>
  <c r="P59" i="1"/>
  <c r="M7" i="2" s="1"/>
  <c r="O59" i="1"/>
  <c r="L7" i="2" s="1"/>
  <c r="N59" i="1"/>
  <c r="K7" i="2" s="1"/>
  <c r="M59" i="1"/>
  <c r="L59" i="1"/>
  <c r="K59" i="1"/>
  <c r="J59" i="1"/>
  <c r="U45" i="14" s="1"/>
  <c r="I59" i="1"/>
  <c r="I7" i="2" s="1"/>
  <c r="H59" i="1"/>
  <c r="E7" i="2" s="1"/>
  <c r="G59" i="1"/>
  <c r="F59" i="1"/>
  <c r="E59" i="1"/>
  <c r="D7" i="2" s="1"/>
  <c r="D59" i="1"/>
  <c r="B45" i="14" s="1"/>
  <c r="AF58" i="1"/>
  <c r="X58" i="1"/>
  <c r="V58" i="1"/>
  <c r="W58" i="1" s="1"/>
  <c r="G6" i="2" s="1"/>
  <c r="P58" i="1"/>
  <c r="M6" i="2" s="1"/>
  <c r="O58" i="1"/>
  <c r="L6" i="2" s="1"/>
  <c r="N58" i="1"/>
  <c r="K6" i="2" s="1"/>
  <c r="M58" i="1"/>
  <c r="AA58" i="1" s="1"/>
  <c r="C18" i="4" s="1"/>
  <c r="L58" i="1"/>
  <c r="K58" i="1"/>
  <c r="J58" i="1"/>
  <c r="Y58" i="1" s="1"/>
  <c r="I58" i="1"/>
  <c r="I6" i="2" s="1"/>
  <c r="H58" i="1"/>
  <c r="E6" i="2" s="1"/>
  <c r="G58" i="1"/>
  <c r="F58" i="1"/>
  <c r="E58" i="1"/>
  <c r="D6" i="2" s="1"/>
  <c r="D58" i="1"/>
  <c r="B44" i="14" s="1"/>
  <c r="AF57" i="1"/>
  <c r="AA57" i="1"/>
  <c r="C17" i="4" s="1"/>
  <c r="X57" i="1"/>
  <c r="V57" i="1"/>
  <c r="F5" i="2" s="1"/>
  <c r="P57" i="1"/>
  <c r="O57" i="1"/>
  <c r="L5" i="2" s="1"/>
  <c r="N57" i="1"/>
  <c r="K5" i="2" s="1"/>
  <c r="M57" i="1"/>
  <c r="L57" i="1"/>
  <c r="K57" i="1"/>
  <c r="J57" i="1"/>
  <c r="I57" i="1"/>
  <c r="I5" i="2" s="1"/>
  <c r="H57" i="1"/>
  <c r="E5" i="2" s="1"/>
  <c r="G57" i="1"/>
  <c r="F57" i="1"/>
  <c r="E57" i="1"/>
  <c r="D57" i="1"/>
  <c r="B43" i="14" s="1"/>
  <c r="AF56" i="1"/>
  <c r="AA56" i="1"/>
  <c r="C16" i="4" s="1"/>
  <c r="P56" i="1"/>
  <c r="O56" i="1"/>
  <c r="L4" i="2" s="1"/>
  <c r="N56" i="1"/>
  <c r="K4" i="2" s="1"/>
  <c r="M56" i="1"/>
  <c r="L56" i="1"/>
  <c r="K56" i="1"/>
  <c r="J56" i="1"/>
  <c r="U42" i="14" s="1"/>
  <c r="I56" i="1"/>
  <c r="I4" i="2" s="1"/>
  <c r="H56" i="1"/>
  <c r="V56" i="1" s="1"/>
  <c r="F4" i="2" s="1"/>
  <c r="G56" i="1"/>
  <c r="F56" i="1"/>
  <c r="E56" i="1"/>
  <c r="D56" i="1"/>
  <c r="B42" i="14" s="1"/>
  <c r="B49" i="1"/>
  <c r="B28" i="1"/>
  <c r="B29" i="1" s="1"/>
  <c r="B27" i="1"/>
  <c r="B26" i="1"/>
  <c r="C17" i="3" s="1"/>
  <c r="B25" i="1"/>
  <c r="C16" i="3" s="1"/>
  <c r="B23" i="1"/>
  <c r="C14" i="3" s="1"/>
  <c r="B22" i="1"/>
  <c r="B24" i="1" s="1"/>
  <c r="C15" i="3" s="1"/>
  <c r="B21" i="1"/>
  <c r="B5" i="5" s="1"/>
  <c r="B20" i="1"/>
  <c r="B19" i="1"/>
  <c r="B18" i="1"/>
  <c r="B7" i="1"/>
  <c r="B6" i="1"/>
  <c r="B5" i="1"/>
  <c r="B9" i="11" s="1"/>
  <c r="S56" i="10" l="1"/>
  <c r="T83" i="10"/>
  <c r="W62" i="1"/>
  <c r="G10" i="2" s="1"/>
  <c r="H19" i="2"/>
  <c r="Z59" i="1"/>
  <c r="B19" i="4" s="1"/>
  <c r="S93" i="10"/>
  <c r="E9" i="2"/>
  <c r="S79" i="10"/>
  <c r="AB70" i="1"/>
  <c r="D30" i="4" s="1"/>
  <c r="U51" i="10"/>
  <c r="T65" i="10"/>
  <c r="S86" i="10"/>
  <c r="T40" i="10"/>
  <c r="T59" i="10"/>
  <c r="T67" i="10"/>
  <c r="U91" i="10"/>
  <c r="T95" i="10"/>
  <c r="Y63" i="1"/>
  <c r="Y68" i="1"/>
  <c r="X77" i="1"/>
  <c r="J6" i="2"/>
  <c r="F14" i="2"/>
  <c r="T32" i="10"/>
  <c r="S32" i="10"/>
  <c r="S75" i="10"/>
  <c r="T80" i="10"/>
  <c r="S80" i="10"/>
  <c r="Z63" i="1"/>
  <c r="B23" i="4" s="1"/>
  <c r="Y71" i="1"/>
  <c r="H23" i="2"/>
  <c r="T19" i="10"/>
  <c r="T22" i="10"/>
  <c r="T27" i="10"/>
  <c r="U42" i="10"/>
  <c r="T53" i="10"/>
  <c r="S53" i="10"/>
  <c r="S61" i="10"/>
  <c r="T74" i="10"/>
  <c r="S74" i="10"/>
  <c r="T87" i="10"/>
  <c r="T96" i="10"/>
  <c r="S24" i="10"/>
  <c r="S67" i="10"/>
  <c r="V61" i="1"/>
  <c r="F9" i="2" s="1"/>
  <c r="H81" i="1"/>
  <c r="H16" i="2"/>
  <c r="D25" i="2"/>
  <c r="T20" i="10"/>
  <c r="S68" i="10"/>
  <c r="S69" i="10"/>
  <c r="T81" i="10"/>
  <c r="U87" i="10"/>
  <c r="X75" i="1"/>
  <c r="J81" i="1"/>
  <c r="H25" i="2"/>
  <c r="S29" i="10"/>
  <c r="T30" i="10"/>
  <c r="T38" i="10"/>
  <c r="U41" i="10"/>
  <c r="S44" i="10"/>
  <c r="S48" i="10"/>
  <c r="S49" i="10"/>
  <c r="T55" i="10"/>
  <c r="S63" i="10"/>
  <c r="T75" i="10"/>
  <c r="U81" i="10"/>
  <c r="T88" i="10"/>
  <c r="T97" i="10"/>
  <c r="S97" i="10"/>
  <c r="T77" i="10"/>
  <c r="U93" i="10"/>
  <c r="T91" i="10"/>
  <c r="S66" i="10"/>
  <c r="T71" i="10"/>
  <c r="S73" i="10"/>
  <c r="J9" i="2"/>
  <c r="S40" i="10"/>
  <c r="H11" i="2"/>
  <c r="F21" i="2"/>
  <c r="U17" i="10"/>
  <c r="E81" i="1"/>
  <c r="Y56" i="1"/>
  <c r="AB61" i="1"/>
  <c r="D21" i="4" s="1"/>
  <c r="AB66" i="1"/>
  <c r="D26" i="4" s="1"/>
  <c r="V72" i="1"/>
  <c r="W72" i="1" s="1"/>
  <c r="G20" i="2" s="1"/>
  <c r="Y75" i="1"/>
  <c r="E20" i="2"/>
  <c r="T17" i="10"/>
  <c r="T35" i="10"/>
  <c r="S36" i="10"/>
  <c r="S37" i="10"/>
  <c r="T42" i="10"/>
  <c r="T62" i="10"/>
  <c r="U75" i="10"/>
  <c r="W75" i="10" s="1"/>
  <c r="X75" i="10" s="1"/>
  <c r="Y75" i="10" s="1"/>
  <c r="S91" i="10"/>
  <c r="F19" i="2"/>
  <c r="W71" i="1"/>
  <c r="G19" i="2" s="1"/>
  <c r="N18" i="2"/>
  <c r="I5" i="3"/>
  <c r="L27" i="7"/>
  <c r="J27" i="7"/>
  <c r="I27" i="7" s="1"/>
  <c r="F27" i="7"/>
  <c r="B36" i="4"/>
  <c r="W29" i="10"/>
  <c r="X29" i="10" s="1"/>
  <c r="Y29" i="10" s="1"/>
  <c r="L26" i="7"/>
  <c r="J26" i="7"/>
  <c r="I26" i="7" s="1"/>
  <c r="F26" i="7"/>
  <c r="AC61" i="1"/>
  <c r="B21" i="4"/>
  <c r="L9" i="7"/>
  <c r="J9" i="7"/>
  <c r="I9" i="7" s="1"/>
  <c r="F9" i="7"/>
  <c r="L14" i="7"/>
  <c r="J14" i="7"/>
  <c r="I14" i="7" s="1"/>
  <c r="F14" i="7"/>
  <c r="V49" i="10"/>
  <c r="J49" i="10"/>
  <c r="U49" i="10"/>
  <c r="W49" i="10" s="1"/>
  <c r="X49" i="10" s="1"/>
  <c r="Y49" i="10" s="1"/>
  <c r="C65" i="14"/>
  <c r="Q65" i="14"/>
  <c r="AB74" i="1"/>
  <c r="D34" i="4" s="1"/>
  <c r="Q47" i="14"/>
  <c r="C47" i="14"/>
  <c r="L53" i="14"/>
  <c r="I53" i="14"/>
  <c r="P53" i="14"/>
  <c r="Z67" i="1"/>
  <c r="W68" i="1"/>
  <c r="G16" i="2" s="1"/>
  <c r="H4" i="2"/>
  <c r="S9" i="2"/>
  <c r="S10" i="2"/>
  <c r="N19" i="2"/>
  <c r="S20" i="10"/>
  <c r="S43" i="10"/>
  <c r="T60" i="10"/>
  <c r="S60" i="10"/>
  <c r="M15" i="2"/>
  <c r="N15" i="2" s="1"/>
  <c r="H22" i="2"/>
  <c r="P56" i="14"/>
  <c r="L56" i="14"/>
  <c r="I56" i="14"/>
  <c r="U48" i="14"/>
  <c r="H10" i="2"/>
  <c r="U51" i="14"/>
  <c r="Y65" i="1"/>
  <c r="U55" i="14"/>
  <c r="Y69" i="1"/>
  <c r="C64" i="14"/>
  <c r="Q64" i="14"/>
  <c r="P64" i="14"/>
  <c r="L64" i="14"/>
  <c r="I64" i="14"/>
  <c r="M26" i="2"/>
  <c r="F6" i="2"/>
  <c r="M18" i="2"/>
  <c r="S26" i="2"/>
  <c r="C8" i="7"/>
  <c r="D8" i="7" s="1"/>
  <c r="U94" i="10"/>
  <c r="S94" i="10"/>
  <c r="F20" i="2"/>
  <c r="AB56" i="1"/>
  <c r="D16" i="4" s="1"/>
  <c r="C53" i="14"/>
  <c r="Q53" i="14"/>
  <c r="N58" i="14"/>
  <c r="T58" i="14"/>
  <c r="S58" i="14"/>
  <c r="K58" i="14"/>
  <c r="J20" i="2"/>
  <c r="N20" i="2" s="1"/>
  <c r="AB73" i="1"/>
  <c r="D33" i="4" s="1"/>
  <c r="D21" i="2"/>
  <c r="W79" i="1"/>
  <c r="G27" i="2" s="1"/>
  <c r="L22" i="7"/>
  <c r="J22" i="7"/>
  <c r="I22" i="7" s="1"/>
  <c r="F22" i="7"/>
  <c r="T90" i="10"/>
  <c r="S90" i="10"/>
  <c r="N43" i="14"/>
  <c r="K43" i="14"/>
  <c r="T43" i="14"/>
  <c r="S43" i="14"/>
  <c r="Y43" i="14" s="1"/>
  <c r="J5" i="2"/>
  <c r="AB59" i="1"/>
  <c r="D19" i="4" s="1"/>
  <c r="N46" i="14"/>
  <c r="K46" i="14"/>
  <c r="T46" i="14"/>
  <c r="S46" i="14"/>
  <c r="J8" i="2"/>
  <c r="W61" i="1"/>
  <c r="G9" i="2" s="1"/>
  <c r="V64" i="1"/>
  <c r="AB65" i="1"/>
  <c r="D25" i="4" s="1"/>
  <c r="V67" i="1"/>
  <c r="AB71" i="1"/>
  <c r="D31" i="4" s="1"/>
  <c r="K52" i="14"/>
  <c r="T52" i="14"/>
  <c r="N52" i="14"/>
  <c r="S52" i="14"/>
  <c r="Y52" i="14" s="1"/>
  <c r="J14" i="2"/>
  <c r="N14" i="2" s="1"/>
  <c r="AA66" i="1"/>
  <c r="C26" i="4" s="1"/>
  <c r="Q56" i="14"/>
  <c r="C56" i="14"/>
  <c r="V75" i="1"/>
  <c r="V76" i="1"/>
  <c r="E24" i="2"/>
  <c r="AB76" i="1"/>
  <c r="D36" i="4" s="1"/>
  <c r="L49" i="14"/>
  <c r="P49" i="14"/>
  <c r="I49" i="14"/>
  <c r="B24" i="4"/>
  <c r="X67" i="1"/>
  <c r="W70" i="1"/>
  <c r="G18" i="2" s="1"/>
  <c r="S63" i="14"/>
  <c r="T63" i="14"/>
  <c r="N63" i="14"/>
  <c r="K63" i="14"/>
  <c r="J25" i="2"/>
  <c r="N25" i="2" s="1"/>
  <c r="V78" i="1"/>
  <c r="AB79" i="1"/>
  <c r="D39" i="4" s="1"/>
  <c r="S11" i="2"/>
  <c r="B16" i="7"/>
  <c r="S16" i="2"/>
  <c r="B25" i="7"/>
  <c r="S25" i="2"/>
  <c r="J11" i="7"/>
  <c r="I11" i="7" s="1"/>
  <c r="U26" i="10"/>
  <c r="S26" i="10"/>
  <c r="U45" i="10"/>
  <c r="S45" i="10"/>
  <c r="K53" i="14"/>
  <c r="T53" i="14"/>
  <c r="S53" i="14"/>
  <c r="Y53" i="14" s="1"/>
  <c r="N53" i="14"/>
  <c r="K56" i="14"/>
  <c r="S56" i="14"/>
  <c r="T56" i="14"/>
  <c r="N56" i="14"/>
  <c r="AA70" i="1"/>
  <c r="C30" i="4" s="1"/>
  <c r="L59" i="14"/>
  <c r="I59" i="14"/>
  <c r="P59" i="14"/>
  <c r="Z73" i="1"/>
  <c r="L62" i="14"/>
  <c r="I62" i="14"/>
  <c r="P62" i="14"/>
  <c r="M24" i="2"/>
  <c r="I43" i="14"/>
  <c r="L43" i="14"/>
  <c r="P43" i="14"/>
  <c r="Z57" i="1"/>
  <c r="T55" i="14"/>
  <c r="S55" i="14"/>
  <c r="N55" i="14"/>
  <c r="K55" i="14"/>
  <c r="J17" i="2"/>
  <c r="U62" i="14"/>
  <c r="H24" i="2"/>
  <c r="C17" i="7"/>
  <c r="D17" i="7" s="1"/>
  <c r="S17" i="2"/>
  <c r="U22" i="10"/>
  <c r="S22" i="10"/>
  <c r="V37" i="10"/>
  <c r="J37" i="10"/>
  <c r="U37" i="10"/>
  <c r="J19" i="7"/>
  <c r="I19" i="7" s="1"/>
  <c r="F19" i="7"/>
  <c r="L19" i="7"/>
  <c r="U44" i="14"/>
  <c r="H6" i="2"/>
  <c r="AB58" i="1"/>
  <c r="D18" i="4" s="1"/>
  <c r="D11" i="2"/>
  <c r="AB63" i="1"/>
  <c r="AB64" i="1"/>
  <c r="D24" i="4" s="1"/>
  <c r="C52" i="14"/>
  <c r="Q52" i="14"/>
  <c r="L52" i="14"/>
  <c r="P52" i="14"/>
  <c r="I52" i="14"/>
  <c r="AA67" i="1"/>
  <c r="C27" i="4" s="1"/>
  <c r="B30" i="4"/>
  <c r="U59" i="14"/>
  <c r="H21" i="2"/>
  <c r="Y73" i="1"/>
  <c r="C60" i="14"/>
  <c r="Q60" i="14"/>
  <c r="L60" i="14"/>
  <c r="P60" i="14"/>
  <c r="I60" i="14"/>
  <c r="Z74" i="1"/>
  <c r="U65" i="14"/>
  <c r="H27" i="2"/>
  <c r="Y79" i="1"/>
  <c r="M5" i="2"/>
  <c r="N6" i="2"/>
  <c r="D10" i="2"/>
  <c r="S20" i="2"/>
  <c r="L11" i="7"/>
  <c r="D16" i="7"/>
  <c r="U30" i="10"/>
  <c r="S30" i="10"/>
  <c r="W56" i="1"/>
  <c r="G4" i="2" s="1"/>
  <c r="K50" i="14"/>
  <c r="N50" i="14"/>
  <c r="T50" i="14"/>
  <c r="S50" i="14"/>
  <c r="Y50" i="14" s="1"/>
  <c r="J12" i="2"/>
  <c r="N12" i="2" s="1"/>
  <c r="C59" i="14"/>
  <c r="Q59" i="14"/>
  <c r="C46" i="14"/>
  <c r="Q46" i="14"/>
  <c r="C58" i="14"/>
  <c r="Q58" i="14"/>
  <c r="L20" i="7"/>
  <c r="J20" i="7"/>
  <c r="I20" i="7" s="1"/>
  <c r="F20" i="7"/>
  <c r="D5" i="2"/>
  <c r="AB57" i="1"/>
  <c r="D17" i="4" s="1"/>
  <c r="N4" i="2"/>
  <c r="U53" i="14"/>
  <c r="H15" i="2"/>
  <c r="AB67" i="1"/>
  <c r="D27" i="4" s="1"/>
  <c r="B32" i="4"/>
  <c r="V74" i="1"/>
  <c r="Q63" i="14"/>
  <c r="C63" i="14"/>
  <c r="I63" i="14"/>
  <c r="P63" i="14"/>
  <c r="L63" i="14"/>
  <c r="Z77" i="1"/>
  <c r="Z78" i="1"/>
  <c r="N7" i="2"/>
  <c r="H8" i="2"/>
  <c r="C24" i="7"/>
  <c r="D24" i="7" s="1"/>
  <c r="S24" i="2"/>
  <c r="L48" i="14"/>
  <c r="I48" i="14"/>
  <c r="P48" i="14"/>
  <c r="Z62" i="1"/>
  <c r="S54" i="14"/>
  <c r="N54" i="14"/>
  <c r="K54" i="14"/>
  <c r="T54" i="14"/>
  <c r="AA68" i="1"/>
  <c r="I55" i="14"/>
  <c r="P55" i="14"/>
  <c r="L55" i="14"/>
  <c r="M17" i="2"/>
  <c r="AA72" i="1"/>
  <c r="C32" i="4" s="1"/>
  <c r="K59" i="14"/>
  <c r="N59" i="14"/>
  <c r="T59" i="14"/>
  <c r="S59" i="14"/>
  <c r="Y59" i="14" s="1"/>
  <c r="J21" i="2"/>
  <c r="N21" i="2" s="1"/>
  <c r="AB75" i="1"/>
  <c r="D35" i="4" s="1"/>
  <c r="K62" i="14"/>
  <c r="T62" i="14"/>
  <c r="S62" i="14"/>
  <c r="N62" i="14"/>
  <c r="J24" i="2"/>
  <c r="F25" i="2"/>
  <c r="W77" i="1"/>
  <c r="G25" i="2" s="1"/>
  <c r="K65" i="14"/>
  <c r="N65" i="14"/>
  <c r="T65" i="14"/>
  <c r="S65" i="14"/>
  <c r="Y65" i="14" s="1"/>
  <c r="Z97" i="10"/>
  <c r="Z95" i="10"/>
  <c r="Z92" i="10"/>
  <c r="Z96" i="10"/>
  <c r="Z94" i="10"/>
  <c r="Z89" i="10"/>
  <c r="Z84" i="10"/>
  <c r="Z78" i="10"/>
  <c r="Z72" i="10"/>
  <c r="Z66" i="10"/>
  <c r="Z60" i="10"/>
  <c r="Z54" i="10"/>
  <c r="Z48" i="10"/>
  <c r="Z47" i="10"/>
  <c r="Z46" i="10"/>
  <c r="Z45" i="10"/>
  <c r="Z44" i="10"/>
  <c r="Z85" i="10"/>
  <c r="Z79" i="10"/>
  <c r="Z73" i="10"/>
  <c r="Z67" i="10"/>
  <c r="Z61" i="10"/>
  <c r="Z55" i="10"/>
  <c r="Z90" i="10"/>
  <c r="Z86" i="10"/>
  <c r="Z80" i="10"/>
  <c r="Z74" i="10"/>
  <c r="Z68" i="10"/>
  <c r="Z62" i="10"/>
  <c r="Z56" i="10"/>
  <c r="Z93" i="10"/>
  <c r="Z87" i="10"/>
  <c r="Z71" i="10"/>
  <c r="Z39" i="10"/>
  <c r="Z35" i="10"/>
  <c r="Z31" i="10"/>
  <c r="Z27" i="10"/>
  <c r="Z23" i="10"/>
  <c r="Z19" i="10"/>
  <c r="M5" i="3"/>
  <c r="Z91" i="10"/>
  <c r="Z82" i="10"/>
  <c r="Z65" i="10"/>
  <c r="Z50" i="10"/>
  <c r="Z88" i="10"/>
  <c r="Z76" i="10"/>
  <c r="Z59" i="10"/>
  <c r="Z52" i="10"/>
  <c r="A4" i="7"/>
  <c r="Z70" i="10"/>
  <c r="Z43" i="10"/>
  <c r="Z40" i="10"/>
  <c r="Z36" i="10"/>
  <c r="Z32" i="10"/>
  <c r="Z28" i="10"/>
  <c r="Z24" i="10"/>
  <c r="Z20" i="10"/>
  <c r="Z64" i="10"/>
  <c r="Z81" i="10"/>
  <c r="Z75" i="10"/>
  <c r="Z58" i="10"/>
  <c r="Z37" i="10"/>
  <c r="Z33" i="10"/>
  <c r="Z29" i="10"/>
  <c r="Z25" i="10"/>
  <c r="Z21" i="10"/>
  <c r="Z17" i="10"/>
  <c r="Z69" i="10"/>
  <c r="Z63" i="10"/>
  <c r="Z49" i="10"/>
  <c r="Z42" i="10"/>
  <c r="Z30" i="10"/>
  <c r="Z83" i="10"/>
  <c r="Z53" i="10"/>
  <c r="Z57" i="10"/>
  <c r="Z41" i="10"/>
  <c r="Z38" i="10"/>
  <c r="Z18" i="10"/>
  <c r="Z77" i="10"/>
  <c r="Z51" i="10"/>
  <c r="Z26" i="10"/>
  <c r="B4" i="7"/>
  <c r="Q28" i="2"/>
  <c r="C21" i="7"/>
  <c r="D21" i="7" s="1"/>
  <c r="U23" i="10"/>
  <c r="W23" i="10" s="1"/>
  <c r="X23" i="10" s="1"/>
  <c r="Y23" i="10" s="1"/>
  <c r="S23" i="10"/>
  <c r="V25" i="10"/>
  <c r="J25" i="10"/>
  <c r="U25" i="10"/>
  <c r="W25" i="10" s="1"/>
  <c r="X25" i="10" s="1"/>
  <c r="Y25" i="10" s="1"/>
  <c r="U27" i="10"/>
  <c r="S27" i="10"/>
  <c r="B26" i="4"/>
  <c r="B29" i="4"/>
  <c r="AC69" i="1"/>
  <c r="AG69" i="1" s="1"/>
  <c r="W65" i="1"/>
  <c r="G13" i="2" s="1"/>
  <c r="U58" i="14"/>
  <c r="H20" i="2"/>
  <c r="Q62" i="14"/>
  <c r="C62" i="14"/>
  <c r="P65" i="14"/>
  <c r="L65" i="14"/>
  <c r="I65" i="14"/>
  <c r="Z79" i="1"/>
  <c r="D4" i="2"/>
  <c r="N16" i="2"/>
  <c r="E22" i="2"/>
  <c r="W38" i="10"/>
  <c r="X38" i="10" s="1"/>
  <c r="Y38" i="10" s="1"/>
  <c r="Q44" i="14"/>
  <c r="C44" i="14"/>
  <c r="I44" i="14"/>
  <c r="P44" i="14"/>
  <c r="L44" i="14"/>
  <c r="Z58" i="1"/>
  <c r="I47" i="14"/>
  <c r="P47" i="14"/>
  <c r="L47" i="14"/>
  <c r="U52" i="14"/>
  <c r="Y66" i="1"/>
  <c r="H14" i="2"/>
  <c r="C43" i="14"/>
  <c r="Q43" i="14"/>
  <c r="I46" i="14"/>
  <c r="P46" i="14"/>
  <c r="L46" i="14"/>
  <c r="M8" i="2"/>
  <c r="S48" i="14"/>
  <c r="T48" i="14"/>
  <c r="N48" i="14"/>
  <c r="K48" i="14"/>
  <c r="AA64" i="1"/>
  <c r="C24" i="4" s="1"/>
  <c r="AB68" i="1"/>
  <c r="D28" i="4" s="1"/>
  <c r="S15" i="2"/>
  <c r="C15" i="7"/>
  <c r="D15" i="7" s="1"/>
  <c r="C10" i="16"/>
  <c r="C6" i="16"/>
  <c r="F27" i="12"/>
  <c r="D6" i="16"/>
  <c r="E27" i="12"/>
  <c r="D27" i="12"/>
  <c r="C27" i="12"/>
  <c r="B27" i="12"/>
  <c r="F28" i="12"/>
  <c r="E28" i="12"/>
  <c r="D28" i="12"/>
  <c r="B28" i="12"/>
  <c r="A5" i="3"/>
  <c r="C11" i="6"/>
  <c r="J12" i="7"/>
  <c r="I12" i="7" s="1"/>
  <c r="B4" i="4"/>
  <c r="W57" i="1"/>
  <c r="G5" i="2" s="1"/>
  <c r="Y60" i="1"/>
  <c r="U47" i="14"/>
  <c r="H9" i="2"/>
  <c r="Y61" i="1"/>
  <c r="U50" i="14"/>
  <c r="H12" i="2"/>
  <c r="Z60" i="1"/>
  <c r="C42" i="14"/>
  <c r="Q42" i="14"/>
  <c r="I42" i="14"/>
  <c r="P42" i="14"/>
  <c r="L42" i="14"/>
  <c r="Z56" i="1"/>
  <c r="V59" i="1"/>
  <c r="V60" i="1"/>
  <c r="AB60" i="1"/>
  <c r="D20" i="4" s="1"/>
  <c r="C48" i="14"/>
  <c r="Q48" i="14"/>
  <c r="V63" i="1"/>
  <c r="E11" i="2"/>
  <c r="C51" i="14"/>
  <c r="Q51" i="14"/>
  <c r="I51" i="14"/>
  <c r="P51" i="14"/>
  <c r="L51" i="14"/>
  <c r="M13" i="2"/>
  <c r="N13" i="2" s="1"/>
  <c r="X69" i="1"/>
  <c r="Q57" i="14"/>
  <c r="C57" i="14"/>
  <c r="AB72" i="1"/>
  <c r="D32" i="4" s="1"/>
  <c r="U64" i="14"/>
  <c r="H26" i="2"/>
  <c r="AB78" i="1"/>
  <c r="D38" i="4" s="1"/>
  <c r="B56" i="11"/>
  <c r="B54" i="11"/>
  <c r="B50" i="11"/>
  <c r="B53" i="11"/>
  <c r="C56" i="11"/>
  <c r="C52" i="11"/>
  <c r="B52" i="11"/>
  <c r="B55" i="11"/>
  <c r="B51" i="11"/>
  <c r="R28" i="2"/>
  <c r="N9" i="2"/>
  <c r="J10" i="2"/>
  <c r="N10" i="2" s="1"/>
  <c r="E12" i="2"/>
  <c r="E17" i="2"/>
  <c r="E26" i="2"/>
  <c r="U19" i="10"/>
  <c r="S19" i="10"/>
  <c r="S4" i="2"/>
  <c r="M10" i="2"/>
  <c r="E13" i="2"/>
  <c r="F17" i="2"/>
  <c r="J27" i="2"/>
  <c r="N27" i="2" s="1"/>
  <c r="J13" i="7"/>
  <c r="I13" i="7" s="1"/>
  <c r="F13" i="7"/>
  <c r="L13" i="7"/>
  <c r="Z22" i="10"/>
  <c r="W33" i="10"/>
  <c r="X33" i="10" s="1"/>
  <c r="Y33" i="10" s="1"/>
  <c r="U70" i="10"/>
  <c r="S70" i="10"/>
  <c r="U18" i="10"/>
  <c r="W18" i="10" s="1"/>
  <c r="X18" i="10" s="1"/>
  <c r="Y18" i="10" s="1"/>
  <c r="S18" i="10"/>
  <c r="V46" i="10"/>
  <c r="J46" i="10"/>
  <c r="U46" i="10"/>
  <c r="W46" i="10" s="1"/>
  <c r="X46" i="10" s="1"/>
  <c r="Y46" i="10" s="1"/>
  <c r="B41" i="11"/>
  <c r="H21" i="11"/>
  <c r="H22" i="11" s="1"/>
  <c r="H23" i="11" s="1"/>
  <c r="H24" i="11" s="1"/>
  <c r="H25" i="11" s="1"/>
  <c r="B24" i="12"/>
  <c r="D4" i="7"/>
  <c r="V17" i="10"/>
  <c r="W17" i="10" s="1"/>
  <c r="J17" i="10"/>
  <c r="U35" i="10"/>
  <c r="W35" i="10" s="1"/>
  <c r="X35" i="10" s="1"/>
  <c r="Y35" i="10" s="1"/>
  <c r="S35" i="10"/>
  <c r="U38" i="10"/>
  <c r="S38" i="10"/>
  <c r="W80" i="10"/>
  <c r="X80" i="10" s="1"/>
  <c r="Y80" i="10" s="1"/>
  <c r="V29" i="10"/>
  <c r="J29" i="10"/>
  <c r="S72" i="10"/>
  <c r="V44" i="10"/>
  <c r="W44" i="10" s="1"/>
  <c r="X44" i="10" s="1"/>
  <c r="Y44" i="10" s="1"/>
  <c r="J44" i="10"/>
  <c r="U78" i="10"/>
  <c r="S78" i="10"/>
  <c r="S45" i="14"/>
  <c r="T45" i="14"/>
  <c r="N45" i="14"/>
  <c r="K45" i="14"/>
  <c r="AA59" i="1"/>
  <c r="C19" i="4" s="1"/>
  <c r="S49" i="14"/>
  <c r="T49" i="14"/>
  <c r="N49" i="14"/>
  <c r="K49" i="14"/>
  <c r="J11" i="2"/>
  <c r="N11" i="2" s="1"/>
  <c r="Q50" i="14"/>
  <c r="C50" i="14"/>
  <c r="P50" i="14"/>
  <c r="L50" i="14"/>
  <c r="I50" i="14"/>
  <c r="C55" i="14"/>
  <c r="Q55" i="14"/>
  <c r="S57" i="14"/>
  <c r="K57" i="14"/>
  <c r="T57" i="14"/>
  <c r="N57" i="14"/>
  <c r="AA71" i="1"/>
  <c r="C31" i="4" s="1"/>
  <c r="P58" i="14"/>
  <c r="I58" i="14"/>
  <c r="L58" i="14"/>
  <c r="S61" i="14"/>
  <c r="Y61" i="14" s="1"/>
  <c r="N61" i="14"/>
  <c r="K61" i="14"/>
  <c r="T61" i="14"/>
  <c r="J23" i="2"/>
  <c r="N23" i="2" s="1"/>
  <c r="AA75" i="1"/>
  <c r="C35" i="4" s="1"/>
  <c r="C6" i="7"/>
  <c r="D6" i="7" s="1"/>
  <c r="S6" i="2"/>
  <c r="B7" i="7"/>
  <c r="D7" i="7" s="1"/>
  <c r="S7" i="2"/>
  <c r="D10" i="7"/>
  <c r="V21" i="10"/>
  <c r="W21" i="10" s="1"/>
  <c r="X21" i="10" s="1"/>
  <c r="Y21" i="10" s="1"/>
  <c r="J21" i="10"/>
  <c r="U39" i="10"/>
  <c r="S39" i="10"/>
  <c r="V41" i="10"/>
  <c r="J41" i="10"/>
  <c r="U50" i="10"/>
  <c r="S50" i="10"/>
  <c r="U54" i="10"/>
  <c r="S54" i="10"/>
  <c r="U84" i="10"/>
  <c r="S84" i="10"/>
  <c r="E4" i="2"/>
  <c r="D56" i="11" s="1"/>
  <c r="E56" i="11" s="1"/>
  <c r="X56" i="1"/>
  <c r="U43" i="14"/>
  <c r="Y57" i="1"/>
  <c r="K44" i="14"/>
  <c r="S44" i="14"/>
  <c r="N44" i="14"/>
  <c r="T44" i="14"/>
  <c r="U56" i="14"/>
  <c r="H18" i="2"/>
  <c r="Y70" i="1"/>
  <c r="S60" i="14"/>
  <c r="K60" i="14"/>
  <c r="T60" i="14"/>
  <c r="N60" i="14"/>
  <c r="J22" i="2"/>
  <c r="N22" i="2" s="1"/>
  <c r="H5" i="2"/>
  <c r="D18" i="7"/>
  <c r="S22" i="2"/>
  <c r="U31" i="10"/>
  <c r="W31" i="10" s="1"/>
  <c r="X31" i="10" s="1"/>
  <c r="Y31" i="10" s="1"/>
  <c r="S31" i="10"/>
  <c r="U34" i="10"/>
  <c r="S34" i="10"/>
  <c r="D25" i="7"/>
  <c r="V33" i="10"/>
  <c r="J33" i="10"/>
  <c r="U47" i="10"/>
  <c r="S47" i="10"/>
  <c r="V57" i="10"/>
  <c r="J57" i="10"/>
  <c r="U57" i="10"/>
  <c r="U64" i="10"/>
  <c r="S64" i="10"/>
  <c r="T89" i="10"/>
  <c r="V51" i="10"/>
  <c r="J51" i="10"/>
  <c r="U52" i="10"/>
  <c r="S52" i="10"/>
  <c r="T61" i="10"/>
  <c r="V63" i="10"/>
  <c r="W63" i="10" s="1"/>
  <c r="X63" i="10" s="1"/>
  <c r="Y63" i="10" s="1"/>
  <c r="J63" i="10"/>
  <c r="U76" i="10"/>
  <c r="S76" i="10"/>
  <c r="T78" i="10"/>
  <c r="V69" i="10"/>
  <c r="W69" i="10" s="1"/>
  <c r="X69" i="10" s="1"/>
  <c r="Y69" i="10" s="1"/>
  <c r="J69" i="10"/>
  <c r="U82" i="10"/>
  <c r="S82" i="10"/>
  <c r="W84" i="10"/>
  <c r="X84" i="10" s="1"/>
  <c r="Y84" i="10" s="1"/>
  <c r="K47" i="14"/>
  <c r="T47" i="14"/>
  <c r="S47" i="14"/>
  <c r="Y47" i="14" s="1"/>
  <c r="N47" i="14"/>
  <c r="C49" i="14"/>
  <c r="Q49" i="14"/>
  <c r="P57" i="14"/>
  <c r="L57" i="14"/>
  <c r="I57" i="14"/>
  <c r="K64" i="14"/>
  <c r="T64" i="14"/>
  <c r="S64" i="14"/>
  <c r="Y64" i="14" s="1"/>
  <c r="N64" i="14"/>
  <c r="J26" i="2"/>
  <c r="V20" i="10"/>
  <c r="J20" i="10"/>
  <c r="V24" i="10"/>
  <c r="W24" i="10" s="1"/>
  <c r="X24" i="10" s="1"/>
  <c r="Y24" i="10" s="1"/>
  <c r="J24" i="10"/>
  <c r="V28" i="10"/>
  <c r="W28" i="10" s="1"/>
  <c r="X28" i="10" s="1"/>
  <c r="Y28" i="10" s="1"/>
  <c r="J28" i="10"/>
  <c r="V32" i="10"/>
  <c r="J32" i="10"/>
  <c r="V36" i="10"/>
  <c r="W36" i="10" s="1"/>
  <c r="X36" i="10" s="1"/>
  <c r="Y36" i="10" s="1"/>
  <c r="J36" i="10"/>
  <c r="V40" i="10"/>
  <c r="W40" i="10" s="1"/>
  <c r="X40" i="10" s="1"/>
  <c r="Y40" i="10" s="1"/>
  <c r="J40" i="10"/>
  <c r="T54" i="10"/>
  <c r="U59" i="10"/>
  <c r="S59" i="10"/>
  <c r="T73" i="10"/>
  <c r="V75" i="10"/>
  <c r="J75" i="10"/>
  <c r="U88" i="10"/>
  <c r="V43" i="10"/>
  <c r="W43" i="10" s="1"/>
  <c r="X43" i="10" s="1"/>
  <c r="Y43" i="10" s="1"/>
  <c r="J43" i="10"/>
  <c r="V48" i="10"/>
  <c r="W48" i="10" s="1"/>
  <c r="X48" i="10" s="1"/>
  <c r="Y48" i="10" s="1"/>
  <c r="J48" i="10"/>
  <c r="T52" i="10"/>
  <c r="V56" i="10"/>
  <c r="W56" i="10" s="1"/>
  <c r="X56" i="10" s="1"/>
  <c r="Y56" i="10" s="1"/>
  <c r="J56" i="10"/>
  <c r="U65" i="10"/>
  <c r="W65" i="10" s="1"/>
  <c r="X65" i="10" s="1"/>
  <c r="Y65" i="10" s="1"/>
  <c r="S65" i="10"/>
  <c r="T76" i="10"/>
  <c r="T79" i="10"/>
  <c r="V81" i="10"/>
  <c r="W81" i="10" s="1"/>
  <c r="X81" i="10" s="1"/>
  <c r="Y81" i="10" s="1"/>
  <c r="J81" i="10"/>
  <c r="V90" i="10"/>
  <c r="J90" i="10"/>
  <c r="U90" i="10"/>
  <c r="S42" i="10"/>
  <c r="U71" i="10"/>
  <c r="W71" i="10" s="1"/>
  <c r="X71" i="10" s="1"/>
  <c r="Y71" i="10" s="1"/>
  <c r="S71" i="10"/>
  <c r="T82" i="10"/>
  <c r="V87" i="10"/>
  <c r="W87" i="10" s="1"/>
  <c r="X87" i="10" s="1"/>
  <c r="Y87" i="10" s="1"/>
  <c r="J87" i="10"/>
  <c r="C5" i="7"/>
  <c r="D5" i="7" s="1"/>
  <c r="C23" i="7"/>
  <c r="D23" i="7" s="1"/>
  <c r="V19" i="10"/>
  <c r="J19" i="10"/>
  <c r="V23" i="10"/>
  <c r="J23" i="10"/>
  <c r="V27" i="10"/>
  <c r="W27" i="10" s="1"/>
  <c r="X27" i="10" s="1"/>
  <c r="Y27" i="10" s="1"/>
  <c r="J27" i="10"/>
  <c r="V31" i="10"/>
  <c r="J31" i="10"/>
  <c r="V35" i="10"/>
  <c r="J35" i="10"/>
  <c r="V39" i="10"/>
  <c r="W39" i="10" s="1"/>
  <c r="X39" i="10" s="1"/>
  <c r="Y39" i="10" s="1"/>
  <c r="J39" i="10"/>
  <c r="V50" i="10"/>
  <c r="J50" i="10"/>
  <c r="T57" i="10"/>
  <c r="U77" i="10"/>
  <c r="S77" i="10"/>
  <c r="S85" i="10"/>
  <c r="V45" i="10"/>
  <c r="W45" i="10" s="1"/>
  <c r="X45" i="10" s="1"/>
  <c r="Y45" i="10" s="1"/>
  <c r="J45" i="10"/>
  <c r="U83" i="10"/>
  <c r="S83" i="10"/>
  <c r="W83" i="10" s="1"/>
  <c r="X83" i="10" s="1"/>
  <c r="Y83" i="10" s="1"/>
  <c r="U89" i="10"/>
  <c r="V42" i="10"/>
  <c r="J42" i="10"/>
  <c r="S55" i="10"/>
  <c r="V91" i="10"/>
  <c r="J91" i="10"/>
  <c r="C7" i="16"/>
  <c r="D5" i="16"/>
  <c r="C5" i="16"/>
  <c r="S42" i="14"/>
  <c r="T42" i="14"/>
  <c r="N42" i="14"/>
  <c r="K42" i="14"/>
  <c r="Q45" i="14"/>
  <c r="C45" i="14"/>
  <c r="I45" i="14"/>
  <c r="P45" i="14"/>
  <c r="L45" i="14"/>
  <c r="S51" i="14"/>
  <c r="N51" i="14"/>
  <c r="T51" i="14"/>
  <c r="K51" i="14"/>
  <c r="C54" i="14"/>
  <c r="Q54" i="14"/>
  <c r="I54" i="14"/>
  <c r="P54" i="14"/>
  <c r="L54" i="14"/>
  <c r="C61" i="14"/>
  <c r="Q61" i="14"/>
  <c r="I61" i="14"/>
  <c r="P61" i="14"/>
  <c r="L61" i="14"/>
  <c r="V18" i="10"/>
  <c r="J18" i="10"/>
  <c r="V22" i="10"/>
  <c r="J22" i="10"/>
  <c r="V26" i="10"/>
  <c r="J26" i="10"/>
  <c r="V30" i="10"/>
  <c r="J30" i="10"/>
  <c r="V34" i="10"/>
  <c r="J34" i="10"/>
  <c r="V38" i="10"/>
  <c r="J38" i="10"/>
  <c r="V47" i="10"/>
  <c r="J47" i="10"/>
  <c r="T51" i="10"/>
  <c r="U58" i="10"/>
  <c r="S58" i="10"/>
  <c r="U72" i="10"/>
  <c r="W72" i="10" s="1"/>
  <c r="X72" i="10" s="1"/>
  <c r="Y72" i="10" s="1"/>
  <c r="V62" i="10"/>
  <c r="J62" i="10"/>
  <c r="V68" i="10"/>
  <c r="W68" i="10" s="1"/>
  <c r="X68" i="10" s="1"/>
  <c r="Y68" i="10" s="1"/>
  <c r="J68" i="10"/>
  <c r="V74" i="10"/>
  <c r="W74" i="10" s="1"/>
  <c r="X74" i="10" s="1"/>
  <c r="Y74" i="10" s="1"/>
  <c r="J74" i="10"/>
  <c r="V80" i="10"/>
  <c r="J80" i="10"/>
  <c r="V86" i="10"/>
  <c r="J86" i="10"/>
  <c r="V97" i="10"/>
  <c r="J97" i="10"/>
  <c r="V55" i="10"/>
  <c r="W55" i="10" s="1"/>
  <c r="X55" i="10" s="1"/>
  <c r="Y55" i="10" s="1"/>
  <c r="J55" i="10"/>
  <c r="V61" i="10"/>
  <c r="J61" i="10"/>
  <c r="V67" i="10"/>
  <c r="W67" i="10" s="1"/>
  <c r="X67" i="10" s="1"/>
  <c r="Y67" i="10" s="1"/>
  <c r="J67" i="10"/>
  <c r="V73" i="10"/>
  <c r="J73" i="10"/>
  <c r="V79" i="10"/>
  <c r="J79" i="10"/>
  <c r="V85" i="10"/>
  <c r="W85" i="10" s="1"/>
  <c r="X85" i="10" s="1"/>
  <c r="Y85" i="10" s="1"/>
  <c r="J85" i="10"/>
  <c r="T92" i="10"/>
  <c r="V54" i="10"/>
  <c r="J54" i="10"/>
  <c r="V60" i="10"/>
  <c r="J60" i="10"/>
  <c r="V66" i="10"/>
  <c r="W66" i="10" s="1"/>
  <c r="X66" i="10" s="1"/>
  <c r="Y66" i="10" s="1"/>
  <c r="J66" i="10"/>
  <c r="V72" i="10"/>
  <c r="J72" i="10"/>
  <c r="V78" i="10"/>
  <c r="J78" i="10"/>
  <c r="V84" i="10"/>
  <c r="J84" i="10"/>
  <c r="S88" i="10"/>
  <c r="V89" i="10"/>
  <c r="J89" i="10"/>
  <c r="U92" i="10"/>
  <c r="T94" i="10"/>
  <c r="S96" i="10"/>
  <c r="B42" i="11"/>
  <c r="I21" i="11"/>
  <c r="I22" i="11" s="1"/>
  <c r="I23" i="11" s="1"/>
  <c r="I24" i="11" s="1"/>
  <c r="I25" i="11" s="1"/>
  <c r="V53" i="10"/>
  <c r="J53" i="10"/>
  <c r="V59" i="10"/>
  <c r="J59" i="10"/>
  <c r="V65" i="10"/>
  <c r="J65" i="10"/>
  <c r="V71" i="10"/>
  <c r="J71" i="10"/>
  <c r="V77" i="10"/>
  <c r="J77" i="10"/>
  <c r="V83" i="10"/>
  <c r="J83" i="10"/>
  <c r="V88" i="10"/>
  <c r="J88" i="10"/>
  <c r="V92" i="10"/>
  <c r="J92" i="10"/>
  <c r="S95" i="10"/>
  <c r="V52" i="10"/>
  <c r="J52" i="10"/>
  <c r="V58" i="10"/>
  <c r="J58" i="10"/>
  <c r="V64" i="10"/>
  <c r="J64" i="10"/>
  <c r="V70" i="10"/>
  <c r="J70" i="10"/>
  <c r="V76" i="10"/>
  <c r="J76" i="10"/>
  <c r="V82" i="10"/>
  <c r="J82" i="10"/>
  <c r="V96" i="10"/>
  <c r="W96" i="10" s="1"/>
  <c r="X96" i="10" s="1"/>
  <c r="Y96" i="10" s="1"/>
  <c r="J96" i="10"/>
  <c r="V95" i="10"/>
  <c r="W95" i="10" s="1"/>
  <c r="X95" i="10" s="1"/>
  <c r="Y95" i="10" s="1"/>
  <c r="J95" i="10"/>
  <c r="V94" i="10"/>
  <c r="J94" i="10"/>
  <c r="V93" i="10"/>
  <c r="J93" i="10"/>
  <c r="D17" i="11"/>
  <c r="E17" i="11" s="1"/>
  <c r="F24" i="12"/>
  <c r="F16" i="11"/>
  <c r="G16" i="11"/>
  <c r="F25" i="12"/>
  <c r="C26" i="12"/>
  <c r="J16" i="1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F44" i="16"/>
  <c r="B31" i="16"/>
  <c r="G45" i="15"/>
  <c r="F43" i="16"/>
  <c r="G44" i="15"/>
  <c r="F42" i="16"/>
  <c r="G55" i="15"/>
  <c r="G43" i="15"/>
  <c r="F41" i="16"/>
  <c r="G54" i="15"/>
  <c r="B38" i="15"/>
  <c r="F40" i="16"/>
  <c r="F39" i="16"/>
  <c r="G52" i="15"/>
  <c r="F49" i="16"/>
  <c r="F48" i="16"/>
  <c r="G49" i="15"/>
  <c r="F47" i="16"/>
  <c r="F46" i="16"/>
  <c r="G47" i="15"/>
  <c r="F45" i="16"/>
  <c r="G48" i="15"/>
  <c r="F38" i="16"/>
  <c r="G46" i="15"/>
  <c r="C31" i="16"/>
  <c r="F26" i="12"/>
  <c r="G18" i="12"/>
  <c r="C22" i="12" s="1"/>
  <c r="C24" i="12" s="1"/>
  <c r="E24" i="12"/>
  <c r="G50" i="15"/>
  <c r="F27" i="15"/>
  <c r="F28" i="15"/>
  <c r="F25" i="15"/>
  <c r="E76" i="15"/>
  <c r="W26" i="10" l="1"/>
  <c r="X26" i="10" s="1"/>
  <c r="Y26" i="10" s="1"/>
  <c r="W42" i="10"/>
  <c r="X42" i="10" s="1"/>
  <c r="Y42" i="10" s="1"/>
  <c r="W91" i="10"/>
  <c r="X91" i="10" s="1"/>
  <c r="Y91" i="10" s="1"/>
  <c r="AC70" i="1"/>
  <c r="AG70" i="1" s="1"/>
  <c r="W47" i="10"/>
  <c r="X47" i="10" s="1"/>
  <c r="Y47" i="10" s="1"/>
  <c r="AA84" i="10"/>
  <c r="AB84" i="10" s="1"/>
  <c r="W97" i="10"/>
  <c r="X97" i="10" s="1"/>
  <c r="Y97" i="10" s="1"/>
  <c r="D51" i="11"/>
  <c r="E51" i="11" s="1"/>
  <c r="W54" i="10"/>
  <c r="X54" i="10" s="1"/>
  <c r="Y54" i="10" s="1"/>
  <c r="N26" i="2"/>
  <c r="P26" i="2" s="1"/>
  <c r="C5" i="3"/>
  <c r="B5" i="16" s="1"/>
  <c r="W92" i="10"/>
  <c r="X92" i="10" s="1"/>
  <c r="Y92" i="10" s="1"/>
  <c r="N5" i="2"/>
  <c r="W20" i="10"/>
  <c r="X20" i="10" s="1"/>
  <c r="Y20" i="10" s="1"/>
  <c r="W41" i="10"/>
  <c r="X41" i="10" s="1"/>
  <c r="Y41" i="10" s="1"/>
  <c r="W58" i="10"/>
  <c r="X58" i="10" s="1"/>
  <c r="Y58" i="10" s="1"/>
  <c r="W30" i="10"/>
  <c r="X30" i="10" s="1"/>
  <c r="Y30" i="10" s="1"/>
  <c r="W77" i="10"/>
  <c r="X77" i="10" s="1"/>
  <c r="Y77" i="10" s="1"/>
  <c r="W53" i="10"/>
  <c r="X53" i="10" s="1"/>
  <c r="Y53" i="10" s="1"/>
  <c r="W70" i="10"/>
  <c r="X70" i="10" s="1"/>
  <c r="Y70" i="10" s="1"/>
  <c r="C51" i="11"/>
  <c r="AA33" i="10"/>
  <c r="AB33" i="10" s="1"/>
  <c r="AA43" i="10"/>
  <c r="AB43" i="10" s="1"/>
  <c r="AA74" i="10"/>
  <c r="AB74" i="10" s="1"/>
  <c r="W37" i="10"/>
  <c r="X37" i="10" s="1"/>
  <c r="Y37" i="10" s="1"/>
  <c r="W59" i="10"/>
  <c r="X59" i="10" s="1"/>
  <c r="Y59" i="10" s="1"/>
  <c r="W50" i="10"/>
  <c r="X50" i="10" s="1"/>
  <c r="Y50" i="10" s="1"/>
  <c r="W19" i="10"/>
  <c r="X19" i="10" s="1"/>
  <c r="Y19" i="10" s="1"/>
  <c r="W22" i="10"/>
  <c r="X22" i="10" s="1"/>
  <c r="Y22" i="10" s="1"/>
  <c r="W52" i="10"/>
  <c r="X52" i="10" s="1"/>
  <c r="Y52" i="10" s="1"/>
  <c r="Y44" i="14"/>
  <c r="Y56" i="14"/>
  <c r="K5" i="3"/>
  <c r="C20" i="6" s="1"/>
  <c r="AC66" i="1"/>
  <c r="AG66" i="1" s="1"/>
  <c r="W62" i="10"/>
  <c r="X62" i="10" s="1"/>
  <c r="Y62" i="10" s="1"/>
  <c r="C50" i="11"/>
  <c r="W88" i="10"/>
  <c r="X88" i="10" s="1"/>
  <c r="Y88" i="10" s="1"/>
  <c r="B78" i="14"/>
  <c r="W32" i="10"/>
  <c r="X32" i="10" s="1"/>
  <c r="Y32" i="10" s="1"/>
  <c r="W93" i="10"/>
  <c r="X93" i="10" s="1"/>
  <c r="Y93" i="10" s="1"/>
  <c r="W86" i="10"/>
  <c r="X86" i="10" s="1"/>
  <c r="Y86" i="10" s="1"/>
  <c r="W89" i="10"/>
  <c r="X89" i="10" s="1"/>
  <c r="Y89" i="10" s="1"/>
  <c r="W64" i="10"/>
  <c r="X64" i="10" s="1"/>
  <c r="Y64" i="10" s="1"/>
  <c r="Y42" i="14"/>
  <c r="W73" i="10"/>
  <c r="X73" i="10" s="1"/>
  <c r="Y73" i="10" s="1"/>
  <c r="W34" i="10"/>
  <c r="X34" i="10" s="1"/>
  <c r="Y34" i="10" s="1"/>
  <c r="Y58" i="14"/>
  <c r="X17" i="10"/>
  <c r="C21" i="6"/>
  <c r="C16" i="6"/>
  <c r="O13" i="2"/>
  <c r="E25" i="4"/>
  <c r="F17" i="11"/>
  <c r="B18" i="11"/>
  <c r="G17" i="11"/>
  <c r="E27" i="4"/>
  <c r="O15" i="2"/>
  <c r="T15" i="2" s="1"/>
  <c r="J7" i="7"/>
  <c r="I7" i="7" s="1"/>
  <c r="F7" i="7"/>
  <c r="L7" i="7"/>
  <c r="B16" i="4"/>
  <c r="AC56" i="1"/>
  <c r="AA46" i="10"/>
  <c r="AB46" i="10" s="1"/>
  <c r="J50" i="14"/>
  <c r="M50" i="14"/>
  <c r="W50" i="14" s="1"/>
  <c r="B101" i="10"/>
  <c r="AA17" i="10"/>
  <c r="AA65" i="10"/>
  <c r="AB65" i="10" s="1"/>
  <c r="B22" i="4"/>
  <c r="AC62" i="1"/>
  <c r="F46" i="14"/>
  <c r="E46" i="14"/>
  <c r="D46" i="14"/>
  <c r="E53" i="14"/>
  <c r="F53" i="14"/>
  <c r="D53" i="14"/>
  <c r="M56" i="14"/>
  <c r="W56" i="14" s="1"/>
  <c r="J56" i="14"/>
  <c r="F61" i="14"/>
  <c r="D61" i="14"/>
  <c r="G61" i="14" s="1"/>
  <c r="E61" i="14"/>
  <c r="J25" i="7"/>
  <c r="I25" i="7" s="1"/>
  <c r="F25" i="7"/>
  <c r="L25" i="7"/>
  <c r="L10" i="7"/>
  <c r="F10" i="7"/>
  <c r="J10" i="7"/>
  <c r="I10" i="7" s="1"/>
  <c r="D53" i="11"/>
  <c r="E53" i="11" s="1"/>
  <c r="M46" i="14"/>
  <c r="W46" i="14" s="1"/>
  <c r="J46" i="14"/>
  <c r="J44" i="14"/>
  <c r="M44" i="14"/>
  <c r="W44" i="14" s="1"/>
  <c r="AA18" i="10"/>
  <c r="AB18" i="10" s="1"/>
  <c r="AA21" i="10"/>
  <c r="AB21" i="10" s="1"/>
  <c r="AA56" i="10"/>
  <c r="AB56" i="10" s="1"/>
  <c r="AA85" i="10"/>
  <c r="AB85" i="10" s="1"/>
  <c r="N24" i="2"/>
  <c r="E98" i="14"/>
  <c r="F30" i="4"/>
  <c r="AC57" i="1"/>
  <c r="B17" i="4"/>
  <c r="E37" i="4"/>
  <c r="O25" i="2"/>
  <c r="O52" i="14"/>
  <c r="R52" i="14"/>
  <c r="X52" i="14" s="1"/>
  <c r="O46" i="14"/>
  <c r="R46" i="14"/>
  <c r="X46" i="14" s="1"/>
  <c r="E30" i="4"/>
  <c r="I30" i="4" s="1"/>
  <c r="O18" i="2"/>
  <c r="O61" i="14"/>
  <c r="R61" i="14"/>
  <c r="X61" i="14" s="1"/>
  <c r="R45" i="14"/>
  <c r="X45" i="14" s="1"/>
  <c r="O45" i="14"/>
  <c r="B107" i="10"/>
  <c r="F48" i="14"/>
  <c r="E48" i="14"/>
  <c r="D48" i="14"/>
  <c r="F62" i="14"/>
  <c r="D62" i="14"/>
  <c r="E62" i="14"/>
  <c r="AA77" i="10"/>
  <c r="AB77" i="10" s="1"/>
  <c r="AA28" i="10"/>
  <c r="AB28" i="10" s="1"/>
  <c r="AA93" i="10"/>
  <c r="AB93" i="10" s="1"/>
  <c r="O19" i="2"/>
  <c r="E31" i="4"/>
  <c r="J31" i="4" s="1"/>
  <c r="G59" i="15"/>
  <c r="W82" i="10"/>
  <c r="X82" i="10" s="1"/>
  <c r="Y82" i="10" s="1"/>
  <c r="F45" i="14"/>
  <c r="E45" i="14"/>
  <c r="D45" i="14"/>
  <c r="F49" i="14"/>
  <c r="E49" i="14"/>
  <c r="D49" i="14"/>
  <c r="G49" i="14" s="1"/>
  <c r="E34" i="4"/>
  <c r="O22" i="2"/>
  <c r="T22" i="2" s="1"/>
  <c r="Y45" i="14"/>
  <c r="L4" i="7"/>
  <c r="J4" i="7"/>
  <c r="F4" i="7"/>
  <c r="D50" i="11"/>
  <c r="E50" i="11" s="1"/>
  <c r="W60" i="1"/>
  <c r="G8" i="2" s="1"/>
  <c r="F8" i="2"/>
  <c r="C28" i="12"/>
  <c r="L15" i="7"/>
  <c r="J15" i="7"/>
  <c r="I15" i="7" s="1"/>
  <c r="F15" i="7"/>
  <c r="E44" i="14"/>
  <c r="F44" i="14"/>
  <c r="D44" i="14"/>
  <c r="AA38" i="10"/>
  <c r="AB38" i="10" s="1"/>
  <c r="AA25" i="10"/>
  <c r="AB25" i="10" s="1"/>
  <c r="AA36" i="10"/>
  <c r="AB36" i="10" s="1"/>
  <c r="AA91" i="10"/>
  <c r="AB91" i="10" s="1"/>
  <c r="AA44" i="10"/>
  <c r="AB44" i="10" s="1"/>
  <c r="AA94" i="10"/>
  <c r="AB94" i="10" s="1"/>
  <c r="O62" i="14"/>
  <c r="R62" i="14"/>
  <c r="X62" i="14" s="1"/>
  <c r="J48" i="14"/>
  <c r="M48" i="14"/>
  <c r="W48" i="14" s="1"/>
  <c r="M63" i="14"/>
  <c r="W63" i="14" s="1"/>
  <c r="J63" i="14"/>
  <c r="E16" i="4"/>
  <c r="O4" i="2"/>
  <c r="F59" i="14"/>
  <c r="E59" i="14"/>
  <c r="D59" i="14"/>
  <c r="L16" i="7"/>
  <c r="F16" i="7"/>
  <c r="J16" i="7"/>
  <c r="I16" i="7" s="1"/>
  <c r="R56" i="14"/>
  <c r="X56" i="14" s="1"/>
  <c r="O56" i="14"/>
  <c r="B36" i="12"/>
  <c r="D57" i="14"/>
  <c r="G57" i="14" s="1"/>
  <c r="F57" i="14"/>
  <c r="E57" i="14"/>
  <c r="F26" i="2"/>
  <c r="W78" i="1"/>
  <c r="G26" i="2" s="1"/>
  <c r="M45" i="14"/>
  <c r="W45" i="14" s="1"/>
  <c r="J45" i="14"/>
  <c r="R47" i="14"/>
  <c r="X47" i="14" s="1"/>
  <c r="O47" i="14"/>
  <c r="W78" i="10"/>
  <c r="X78" i="10" s="1"/>
  <c r="Y78" i="10" s="1"/>
  <c r="R60" i="14"/>
  <c r="X60" i="14" s="1"/>
  <c r="O60" i="14"/>
  <c r="M58" i="14"/>
  <c r="W58" i="14" s="1"/>
  <c r="J58" i="14"/>
  <c r="D50" i="14"/>
  <c r="F50" i="14"/>
  <c r="E50" i="14"/>
  <c r="B35" i="12"/>
  <c r="C55" i="11"/>
  <c r="F7" i="2"/>
  <c r="W59" i="1"/>
  <c r="G7" i="2" s="1"/>
  <c r="F43" i="14"/>
  <c r="E43" i="14"/>
  <c r="D43" i="14"/>
  <c r="AA41" i="10"/>
  <c r="AB41" i="10" s="1"/>
  <c r="AA29" i="10"/>
  <c r="AB29" i="10" s="1"/>
  <c r="AA40" i="10"/>
  <c r="AB40" i="10" s="1"/>
  <c r="AA68" i="10"/>
  <c r="AB68" i="10" s="1"/>
  <c r="AA45" i="10"/>
  <c r="AB45" i="10" s="1"/>
  <c r="AA96" i="10"/>
  <c r="AB96" i="10" s="1"/>
  <c r="Y62" i="14"/>
  <c r="F63" i="14"/>
  <c r="E63" i="14"/>
  <c r="D63" i="14"/>
  <c r="E24" i="4"/>
  <c r="I24" i="4" s="1"/>
  <c r="O12" i="2"/>
  <c r="R63" i="14"/>
  <c r="X63" i="14" s="1"/>
  <c r="O63" i="14"/>
  <c r="E17" i="4"/>
  <c r="O5" i="2"/>
  <c r="E64" i="14"/>
  <c r="D64" i="14"/>
  <c r="F64" i="14"/>
  <c r="H29" i="2"/>
  <c r="AA19" i="10"/>
  <c r="AB19" i="10" s="1"/>
  <c r="D55" i="11"/>
  <c r="E55" i="11" s="1"/>
  <c r="L21" i="7"/>
  <c r="J21" i="7"/>
  <c r="I21" i="7" s="1"/>
  <c r="F21" i="7"/>
  <c r="AA47" i="10"/>
  <c r="AB47" i="10" s="1"/>
  <c r="J60" i="14"/>
  <c r="M60" i="14"/>
  <c r="W60" i="14" s="1"/>
  <c r="F17" i="7"/>
  <c r="J17" i="7"/>
  <c r="I17" i="7" s="1"/>
  <c r="L17" i="7"/>
  <c r="Y63" i="14"/>
  <c r="F15" i="2"/>
  <c r="W67" i="1"/>
  <c r="G15" i="2" s="1"/>
  <c r="AC67" i="1"/>
  <c r="B27" i="4"/>
  <c r="F65" i="14"/>
  <c r="E65" i="14"/>
  <c r="D65" i="14"/>
  <c r="G65" i="14" s="1"/>
  <c r="AC71" i="1"/>
  <c r="W51" i="10"/>
  <c r="X51" i="10" s="1"/>
  <c r="Y51" i="10" s="1"/>
  <c r="F54" i="14"/>
  <c r="E54" i="14"/>
  <c r="D54" i="14"/>
  <c r="G54" i="14" s="1"/>
  <c r="O64" i="14"/>
  <c r="R64" i="14"/>
  <c r="X64" i="14" s="1"/>
  <c r="Y60" i="14"/>
  <c r="O57" i="14"/>
  <c r="R57" i="14"/>
  <c r="X57" i="14" s="1"/>
  <c r="D52" i="11"/>
  <c r="E52" i="11" s="1"/>
  <c r="M51" i="14"/>
  <c r="W51" i="14" s="1"/>
  <c r="J51" i="14"/>
  <c r="E28" i="4"/>
  <c r="O16" i="2"/>
  <c r="T16" i="2" s="1"/>
  <c r="AA83" i="10"/>
  <c r="AB83" i="10" s="1"/>
  <c r="AA27" i="10"/>
  <c r="AB27" i="10" s="1"/>
  <c r="AA86" i="10"/>
  <c r="AB86" i="10" s="1"/>
  <c r="AA48" i="10"/>
  <c r="AB48" i="10" s="1"/>
  <c r="C28" i="4"/>
  <c r="AC68" i="1"/>
  <c r="F24" i="7"/>
  <c r="L24" i="7"/>
  <c r="J24" i="7"/>
  <c r="I24" i="7" s="1"/>
  <c r="O50" i="14"/>
  <c r="R50" i="14"/>
  <c r="X50" i="14" s="1"/>
  <c r="T25" i="2"/>
  <c r="W76" i="1"/>
  <c r="G24" i="2" s="1"/>
  <c r="F24" i="2"/>
  <c r="E32" i="4"/>
  <c r="I32" i="4" s="1"/>
  <c r="O20" i="2"/>
  <c r="T20" i="2" s="1"/>
  <c r="L8" i="7"/>
  <c r="J8" i="7"/>
  <c r="I8" i="7" s="1"/>
  <c r="F8" i="7"/>
  <c r="AC65" i="1"/>
  <c r="W60" i="10"/>
  <c r="X60" i="10" s="1"/>
  <c r="Y60" i="10" s="1"/>
  <c r="T6" i="2"/>
  <c r="AA80" i="10"/>
  <c r="AB80" i="10" s="1"/>
  <c r="O49" i="14"/>
  <c r="R49" i="14"/>
  <c r="X49" i="14" s="1"/>
  <c r="AA30" i="10"/>
  <c r="AB30" i="10" s="1"/>
  <c r="O43" i="14"/>
  <c r="R43" i="14"/>
  <c r="X43" i="14" s="1"/>
  <c r="J53" i="14"/>
  <c r="M53" i="14"/>
  <c r="W53" i="14" s="1"/>
  <c r="C15" i="16"/>
  <c r="C12" i="16"/>
  <c r="C16" i="16"/>
  <c r="C14" i="16"/>
  <c r="F23" i="7"/>
  <c r="J23" i="7"/>
  <c r="I23" i="7" s="1"/>
  <c r="L23" i="7"/>
  <c r="W61" i="10"/>
  <c r="X61" i="10" s="1"/>
  <c r="Y61" i="10" s="1"/>
  <c r="E39" i="4"/>
  <c r="O27" i="2"/>
  <c r="E21" i="4"/>
  <c r="J21" i="4" s="1"/>
  <c r="O9" i="2"/>
  <c r="T9" i="2" s="1"/>
  <c r="E51" i="14"/>
  <c r="D51" i="14"/>
  <c r="F51" i="14"/>
  <c r="AC79" i="1"/>
  <c r="B39" i="4"/>
  <c r="I26" i="4"/>
  <c r="AA42" i="10"/>
  <c r="AB42" i="10" s="1"/>
  <c r="AA81" i="10"/>
  <c r="AB81" i="10" s="1"/>
  <c r="AA59" i="10"/>
  <c r="AB59" i="10" s="1"/>
  <c r="AA35" i="10"/>
  <c r="AB35" i="10" s="1"/>
  <c r="AA55" i="10"/>
  <c r="AB55" i="10" s="1"/>
  <c r="F52" i="14"/>
  <c r="E52" i="14"/>
  <c r="D52" i="14"/>
  <c r="N17" i="2"/>
  <c r="R53" i="14"/>
  <c r="X53" i="14" s="1"/>
  <c r="O53" i="14"/>
  <c r="F56" i="14"/>
  <c r="E56" i="14"/>
  <c r="D56" i="14"/>
  <c r="G56" i="14" s="1"/>
  <c r="AC76" i="1"/>
  <c r="B9" i="16"/>
  <c r="B10" i="6"/>
  <c r="D10" i="6" s="1"/>
  <c r="AA23" i="10"/>
  <c r="AB23" i="10" s="1"/>
  <c r="J55" i="14"/>
  <c r="M55" i="14"/>
  <c r="W55" i="14" s="1"/>
  <c r="M42" i="14"/>
  <c r="J42" i="14"/>
  <c r="F26" i="4"/>
  <c r="G26" i="4" s="1"/>
  <c r="H26" i="4" s="1"/>
  <c r="AA75" i="10"/>
  <c r="AB75" i="10" s="1"/>
  <c r="F22" i="2"/>
  <c r="W74" i="1"/>
  <c r="G22" i="2" s="1"/>
  <c r="W75" i="1"/>
  <c r="G23" i="2" s="1"/>
  <c r="F23" i="2"/>
  <c r="W94" i="10"/>
  <c r="X94" i="10" s="1"/>
  <c r="Y94" i="10" s="1"/>
  <c r="O51" i="14"/>
  <c r="R51" i="14"/>
  <c r="X51" i="14" s="1"/>
  <c r="D15" i="16"/>
  <c r="D12" i="16"/>
  <c r="D14" i="16"/>
  <c r="D13" i="16"/>
  <c r="D16" i="16"/>
  <c r="F5" i="7"/>
  <c r="L5" i="7"/>
  <c r="J5" i="7"/>
  <c r="I5" i="7" s="1"/>
  <c r="O23" i="2"/>
  <c r="E35" i="4"/>
  <c r="J35" i="4" s="1"/>
  <c r="Y57" i="14"/>
  <c r="Y49" i="14"/>
  <c r="F42" i="14"/>
  <c r="E42" i="14"/>
  <c r="D42" i="14"/>
  <c r="G42" i="14" s="1"/>
  <c r="Y48" i="14"/>
  <c r="J47" i="14"/>
  <c r="M47" i="14"/>
  <c r="W47" i="14" s="1"/>
  <c r="M65" i="14"/>
  <c r="W65" i="14" s="1"/>
  <c r="J65" i="14"/>
  <c r="AA49" i="10"/>
  <c r="AB49" i="10" s="1"/>
  <c r="AA76" i="10"/>
  <c r="AB76" i="10" s="1"/>
  <c r="AA39" i="10"/>
  <c r="AB39" i="10" s="1"/>
  <c r="AA66" i="10"/>
  <c r="AB66" i="10" s="1"/>
  <c r="O65" i="14"/>
  <c r="R65" i="14"/>
  <c r="X65" i="14" s="1"/>
  <c r="R54" i="14"/>
  <c r="X54" i="14" s="1"/>
  <c r="O54" i="14"/>
  <c r="E19" i="4"/>
  <c r="I19" i="4" s="1"/>
  <c r="O7" i="2"/>
  <c r="T7" i="2" s="1"/>
  <c r="AC72" i="1"/>
  <c r="V81" i="1"/>
  <c r="E60" i="14"/>
  <c r="F60" i="14"/>
  <c r="D60" i="14"/>
  <c r="G60" i="14" s="1"/>
  <c r="B33" i="4"/>
  <c r="AC73" i="1"/>
  <c r="N8" i="2"/>
  <c r="P15" i="2" s="1"/>
  <c r="W90" i="10"/>
  <c r="X90" i="10" s="1"/>
  <c r="Y90" i="10" s="1"/>
  <c r="E47" i="14"/>
  <c r="D47" i="14"/>
  <c r="G47" i="14" s="1"/>
  <c r="F47" i="14"/>
  <c r="J54" i="14"/>
  <c r="M54" i="14"/>
  <c r="W54" i="14" s="1"/>
  <c r="B34" i="4"/>
  <c r="AC74" i="1"/>
  <c r="R42" i="14"/>
  <c r="O42" i="14"/>
  <c r="W57" i="10"/>
  <c r="X57" i="10" s="1"/>
  <c r="Y57" i="10" s="1"/>
  <c r="E29" i="2"/>
  <c r="E23" i="4"/>
  <c r="O11" i="2"/>
  <c r="H26" i="11"/>
  <c r="H27" i="11" s="1"/>
  <c r="H28" i="11" s="1"/>
  <c r="H29" i="11" s="1"/>
  <c r="H30" i="11" s="1"/>
  <c r="H31" i="11" s="1"/>
  <c r="H32" i="11" s="1"/>
  <c r="H33" i="11" s="1"/>
  <c r="H34" i="11" s="1"/>
  <c r="H35" i="11" s="1"/>
  <c r="B43" i="11"/>
  <c r="E97" i="14"/>
  <c r="F29" i="4"/>
  <c r="AA95" i="10"/>
  <c r="AB95" i="10" s="1"/>
  <c r="O10" i="2"/>
  <c r="T10" i="2" s="1"/>
  <c r="E22" i="4"/>
  <c r="D29" i="2"/>
  <c r="AA52" i="10"/>
  <c r="AB52" i="10" s="1"/>
  <c r="E33" i="4"/>
  <c r="O21" i="2"/>
  <c r="M62" i="14"/>
  <c r="W62" i="14" s="1"/>
  <c r="J62" i="14"/>
  <c r="G58" i="15"/>
  <c r="B60" i="15"/>
  <c r="B54" i="16" s="1"/>
  <c r="E6" i="16"/>
  <c r="E5" i="16"/>
  <c r="G56" i="15"/>
  <c r="G57" i="15"/>
  <c r="E8" i="16"/>
  <c r="E11" i="16" s="1"/>
  <c r="Y51" i="14"/>
  <c r="W79" i="10"/>
  <c r="X79" i="10" s="1"/>
  <c r="Y79" i="10" s="1"/>
  <c r="J57" i="14"/>
  <c r="M57" i="14"/>
  <c r="W57" i="14" s="1"/>
  <c r="AC75" i="1"/>
  <c r="W63" i="1"/>
  <c r="G11" i="2" s="1"/>
  <c r="F11" i="2"/>
  <c r="B20" i="4"/>
  <c r="AC60" i="1"/>
  <c r="B18" i="4"/>
  <c r="AC58" i="1"/>
  <c r="AA26" i="10"/>
  <c r="AB26" i="10" s="1"/>
  <c r="AA63" i="10"/>
  <c r="AB63" i="10" s="1"/>
  <c r="AA20" i="10"/>
  <c r="AB20" i="10" s="1"/>
  <c r="AA88" i="10"/>
  <c r="AB88" i="10" s="1"/>
  <c r="AA71" i="10"/>
  <c r="AB71" i="10" s="1"/>
  <c r="AA67" i="10"/>
  <c r="AB67" i="10" s="1"/>
  <c r="AA72" i="10"/>
  <c r="AB72" i="10" s="1"/>
  <c r="R59" i="14"/>
  <c r="X59" i="14" s="1"/>
  <c r="O59" i="14"/>
  <c r="Y54" i="14"/>
  <c r="AC78" i="1"/>
  <c r="B38" i="4"/>
  <c r="D58" i="14"/>
  <c r="G58" i="14" s="1"/>
  <c r="F58" i="14"/>
  <c r="E58" i="14"/>
  <c r="E18" i="4"/>
  <c r="O6" i="2"/>
  <c r="D23" i="4"/>
  <c r="AC63" i="1"/>
  <c r="O55" i="14"/>
  <c r="R55" i="14"/>
  <c r="X55" i="14" s="1"/>
  <c r="AC64" i="1"/>
  <c r="Y46" i="14"/>
  <c r="O58" i="14"/>
  <c r="R58" i="14"/>
  <c r="X58" i="14" s="1"/>
  <c r="E89" i="14"/>
  <c r="AG61" i="1"/>
  <c r="F21" i="4"/>
  <c r="M52" i="14"/>
  <c r="W52" i="14" s="1"/>
  <c r="J52" i="14"/>
  <c r="J43" i="14"/>
  <c r="M43" i="14"/>
  <c r="W43" i="14" s="1"/>
  <c r="I26" i="11"/>
  <c r="I27" i="11" s="1"/>
  <c r="I28" i="11" s="1"/>
  <c r="I29" i="11" s="1"/>
  <c r="I30" i="11" s="1"/>
  <c r="I31" i="11" s="1"/>
  <c r="I32" i="11" s="1"/>
  <c r="I33" i="11" s="1"/>
  <c r="I34" i="11" s="1"/>
  <c r="I35" i="11" s="1"/>
  <c r="B44" i="11"/>
  <c r="D54" i="11"/>
  <c r="E54" i="11" s="1"/>
  <c r="AA37" i="10"/>
  <c r="AB37" i="10" s="1"/>
  <c r="F6" i="7"/>
  <c r="L6" i="7"/>
  <c r="J6" i="7"/>
  <c r="I6" i="7" s="1"/>
  <c r="R48" i="14"/>
  <c r="X48" i="14" s="1"/>
  <c r="O48" i="14"/>
  <c r="E5" i="3"/>
  <c r="AA31" i="10"/>
  <c r="AB31" i="10" s="1"/>
  <c r="W64" i="1"/>
  <c r="G12" i="2" s="1"/>
  <c r="F12" i="2"/>
  <c r="J61" i="14"/>
  <c r="M61" i="14"/>
  <c r="W61" i="14" s="1"/>
  <c r="W76" i="10"/>
  <c r="X76" i="10" s="1"/>
  <c r="Y76" i="10" s="1"/>
  <c r="F18" i="7"/>
  <c r="L18" i="7"/>
  <c r="J18" i="7"/>
  <c r="I18" i="7" s="1"/>
  <c r="R44" i="14"/>
  <c r="X44" i="14" s="1"/>
  <c r="O44" i="14"/>
  <c r="F55" i="14"/>
  <c r="E55" i="14"/>
  <c r="D55" i="14"/>
  <c r="G55" i="14" s="1"/>
  <c r="C54" i="11"/>
  <c r="C53" i="11"/>
  <c r="AA69" i="10"/>
  <c r="AB69" i="10" s="1"/>
  <c r="AA24" i="10"/>
  <c r="AB24" i="10" s="1"/>
  <c r="AA87" i="10"/>
  <c r="AB87" i="10" s="1"/>
  <c r="B37" i="4"/>
  <c r="AC77" i="1"/>
  <c r="Y55" i="14"/>
  <c r="M59" i="14"/>
  <c r="W59" i="14" s="1"/>
  <c r="J59" i="14"/>
  <c r="M49" i="14"/>
  <c r="W49" i="14" s="1"/>
  <c r="J49" i="14"/>
  <c r="E26" i="4"/>
  <c r="J26" i="4" s="1"/>
  <c r="O14" i="2"/>
  <c r="M64" i="14"/>
  <c r="W64" i="14" s="1"/>
  <c r="J64" i="14"/>
  <c r="AC59" i="1"/>
  <c r="C103" i="15" l="1"/>
  <c r="F76" i="15"/>
  <c r="G76" i="15" s="1"/>
  <c r="C99" i="15"/>
  <c r="AA97" i="10"/>
  <c r="AB97" i="10" s="1"/>
  <c r="G50" i="14"/>
  <c r="AA89" i="10"/>
  <c r="AB89" i="10" s="1"/>
  <c r="C101" i="15"/>
  <c r="F101" i="15" s="1"/>
  <c r="AA78" i="10"/>
  <c r="AB78" i="10" s="1"/>
  <c r="AA22" i="10"/>
  <c r="AB22" i="10" s="1"/>
  <c r="I21" i="4"/>
  <c r="P23" i="2"/>
  <c r="G52" i="14"/>
  <c r="H52" i="14" s="1"/>
  <c r="AA62" i="10"/>
  <c r="AB62" i="10" s="1"/>
  <c r="B8" i="16"/>
  <c r="AA70" i="10"/>
  <c r="AB70" i="10" s="1"/>
  <c r="C17" i="6"/>
  <c r="E17" i="6" s="1"/>
  <c r="C18" i="6"/>
  <c r="AA73" i="10"/>
  <c r="AB73" i="10" s="1"/>
  <c r="P6" i="2"/>
  <c r="O26" i="2"/>
  <c r="P4" i="2"/>
  <c r="AA32" i="10"/>
  <c r="AB32" i="10" s="1"/>
  <c r="B9" i="6"/>
  <c r="D9" i="6" s="1"/>
  <c r="C102" i="15"/>
  <c r="F102" i="15" s="1"/>
  <c r="E94" i="14"/>
  <c r="E38" i="4"/>
  <c r="AA58" i="10"/>
  <c r="AB58" i="10" s="1"/>
  <c r="C19" i="6"/>
  <c r="C104" i="15"/>
  <c r="I31" i="4"/>
  <c r="AA64" i="10"/>
  <c r="AB64" i="10" s="1"/>
  <c r="AA53" i="10"/>
  <c r="AB53" i="10" s="1"/>
  <c r="C100" i="15"/>
  <c r="E100" i="15" s="1"/>
  <c r="AA50" i="10"/>
  <c r="AB50" i="10" s="1"/>
  <c r="P21" i="2"/>
  <c r="J32" i="4"/>
  <c r="P14" i="2"/>
  <c r="AA54" i="10"/>
  <c r="AB54" i="10" s="1"/>
  <c r="AA60" i="10"/>
  <c r="AB60" i="10" s="1"/>
  <c r="P9" i="2"/>
  <c r="AA57" i="10"/>
  <c r="AB57" i="10" s="1"/>
  <c r="AA92" i="10"/>
  <c r="AB92" i="10" s="1"/>
  <c r="P12" i="2"/>
  <c r="G43" i="14"/>
  <c r="G59" i="14"/>
  <c r="D105" i="14"/>
  <c r="G25" i="7"/>
  <c r="AA82" i="10"/>
  <c r="AB82" i="10" s="1"/>
  <c r="I16" i="4"/>
  <c r="J16" i="4"/>
  <c r="D18" i="11"/>
  <c r="E18" i="11" s="1"/>
  <c r="E21" i="6"/>
  <c r="D21" i="6"/>
  <c r="E87" i="14"/>
  <c r="F19" i="4"/>
  <c r="G19" i="4" s="1"/>
  <c r="H19" i="4" s="1"/>
  <c r="AG59" i="1"/>
  <c r="D106" i="14"/>
  <c r="G26" i="7"/>
  <c r="H26" i="7" s="1"/>
  <c r="K26" i="7" s="1"/>
  <c r="P25" i="2"/>
  <c r="H25" i="7"/>
  <c r="K25" i="7" s="1"/>
  <c r="D17" i="6"/>
  <c r="P11" i="2"/>
  <c r="AA61" i="10"/>
  <c r="AB61" i="10" s="1"/>
  <c r="D89" i="14"/>
  <c r="G9" i="7"/>
  <c r="H9" i="7" s="1"/>
  <c r="K9" i="7" s="1"/>
  <c r="G63" i="14"/>
  <c r="E90" i="14"/>
  <c r="F22" i="4"/>
  <c r="G22" i="4" s="1"/>
  <c r="H22" i="4" s="1"/>
  <c r="AG62" i="1"/>
  <c r="I35" i="4"/>
  <c r="D18" i="6"/>
  <c r="E18" i="6"/>
  <c r="H65" i="14"/>
  <c r="V65" i="14" s="1"/>
  <c r="Z65" i="14" s="1"/>
  <c r="J37" i="4"/>
  <c r="I37" i="4"/>
  <c r="J18" i="4"/>
  <c r="I18" i="4"/>
  <c r="B6" i="16"/>
  <c r="F6" i="16" s="1"/>
  <c r="G5" i="3"/>
  <c r="B5" i="6"/>
  <c r="D84" i="14"/>
  <c r="G4" i="7"/>
  <c r="H4" i="7" s="1"/>
  <c r="P18" i="2"/>
  <c r="I17" i="4"/>
  <c r="J17" i="4"/>
  <c r="J22" i="4"/>
  <c r="I22" i="4"/>
  <c r="C77" i="15"/>
  <c r="I76" i="15"/>
  <c r="J76" i="15" s="1"/>
  <c r="F103" i="15"/>
  <c r="E103" i="15"/>
  <c r="D103" i="15"/>
  <c r="H103" i="15"/>
  <c r="G103" i="15"/>
  <c r="P27" i="2"/>
  <c r="J27" i="4"/>
  <c r="I27" i="4"/>
  <c r="G64" i="14"/>
  <c r="N29" i="2"/>
  <c r="G45" i="14"/>
  <c r="G62" i="14"/>
  <c r="D98" i="14"/>
  <c r="G18" i="7"/>
  <c r="H18" i="7" s="1"/>
  <c r="K18" i="7" s="1"/>
  <c r="T18" i="2"/>
  <c r="E85" i="14"/>
  <c r="F17" i="4"/>
  <c r="AG57" i="1"/>
  <c r="H61" i="14"/>
  <c r="V61" i="14" s="1"/>
  <c r="Z61" i="14" s="1"/>
  <c r="AA79" i="10"/>
  <c r="AB79" i="10" s="1"/>
  <c r="AA34" i="10"/>
  <c r="AB34" i="10" s="1"/>
  <c r="B15" i="16"/>
  <c r="B16" i="16"/>
  <c r="B14" i="16"/>
  <c r="F14" i="16" s="1"/>
  <c r="B13" i="16"/>
  <c r="F13" i="16" s="1"/>
  <c r="F5" i="16"/>
  <c r="B12" i="16"/>
  <c r="F99" i="15"/>
  <c r="E99" i="15"/>
  <c r="D99" i="15"/>
  <c r="H99" i="15"/>
  <c r="G99" i="15"/>
  <c r="P13" i="2"/>
  <c r="D101" i="15"/>
  <c r="H101" i="15"/>
  <c r="G101" i="15"/>
  <c r="H60" i="14"/>
  <c r="V60" i="14" s="1"/>
  <c r="Z60" i="14" s="1"/>
  <c r="F29" i="2"/>
  <c r="I23" i="4"/>
  <c r="J23" i="4"/>
  <c r="P10" i="2"/>
  <c r="B26" i="16"/>
  <c r="X42" i="14"/>
  <c r="P7" i="2"/>
  <c r="D103" i="14"/>
  <c r="G23" i="7"/>
  <c r="H23" i="7" s="1"/>
  <c r="K23" i="7" s="1"/>
  <c r="T23" i="2"/>
  <c r="P17" i="2"/>
  <c r="E29" i="4"/>
  <c r="O17" i="2"/>
  <c r="O5" i="3" s="1"/>
  <c r="D85" i="14"/>
  <c r="G5" i="7"/>
  <c r="H5" i="7" s="1"/>
  <c r="K5" i="7" s="1"/>
  <c r="T5" i="2"/>
  <c r="B53" i="16"/>
  <c r="G48" i="14"/>
  <c r="G30" i="4"/>
  <c r="H30" i="4" s="1"/>
  <c r="AB17" i="10"/>
  <c r="D95" i="14"/>
  <c r="G15" i="7"/>
  <c r="H15" i="7" s="1"/>
  <c r="K15" i="7" s="1"/>
  <c r="J25" i="4"/>
  <c r="I25" i="4"/>
  <c r="F8" i="16"/>
  <c r="E105" i="14"/>
  <c r="F37" i="4"/>
  <c r="G37" i="4" s="1"/>
  <c r="H37" i="4" s="1"/>
  <c r="AG77" i="1"/>
  <c r="H49" i="14"/>
  <c r="V49" i="14" s="1"/>
  <c r="Z49" i="14" s="1"/>
  <c r="E88" i="14"/>
  <c r="F20" i="4"/>
  <c r="AG60" i="1"/>
  <c r="E95" i="14"/>
  <c r="F27" i="4"/>
  <c r="G27" i="4" s="1"/>
  <c r="H27" i="4" s="1"/>
  <c r="AG67" i="1"/>
  <c r="G21" i="4"/>
  <c r="H21" i="4" s="1"/>
  <c r="D86" i="14"/>
  <c r="G6" i="7"/>
  <c r="H6" i="7" s="1"/>
  <c r="K6" i="7" s="1"/>
  <c r="D87" i="14"/>
  <c r="G7" i="7"/>
  <c r="H7" i="7" s="1"/>
  <c r="K7" i="7" s="1"/>
  <c r="AA90" i="10"/>
  <c r="AB90" i="10" s="1"/>
  <c r="D96" i="14"/>
  <c r="G16" i="7"/>
  <c r="H16" i="7" s="1"/>
  <c r="K16" i="7" s="1"/>
  <c r="H54" i="14"/>
  <c r="V54" i="14" s="1"/>
  <c r="Z54" i="14" s="1"/>
  <c r="J30" i="4"/>
  <c r="J29" i="7"/>
  <c r="I4" i="7"/>
  <c r="D93" i="14"/>
  <c r="G13" i="7"/>
  <c r="H13" i="7" s="1"/>
  <c r="K13" i="7" s="1"/>
  <c r="T13" i="2"/>
  <c r="I33" i="4"/>
  <c r="J33" i="4"/>
  <c r="E92" i="14"/>
  <c r="F24" i="4"/>
  <c r="G24" i="4" s="1"/>
  <c r="H24" i="4" s="1"/>
  <c r="AG64" i="1"/>
  <c r="H57" i="14"/>
  <c r="V57" i="14"/>
  <c r="Z57" i="14" s="1"/>
  <c r="E106" i="14"/>
  <c r="F38" i="4"/>
  <c r="AG78" i="1"/>
  <c r="D107" i="14"/>
  <c r="G27" i="7"/>
  <c r="H27" i="7" s="1"/>
  <c r="K27" i="7" s="1"/>
  <c r="T27" i="2"/>
  <c r="E93" i="14"/>
  <c r="F25" i="4"/>
  <c r="G25" i="4" s="1"/>
  <c r="H25" i="4" s="1"/>
  <c r="AG65" i="1"/>
  <c r="E103" i="14"/>
  <c r="F35" i="4"/>
  <c r="AG75" i="1"/>
  <c r="E102" i="14"/>
  <c r="F34" i="4"/>
  <c r="AG74" i="1"/>
  <c r="P8" i="2"/>
  <c r="E20" i="4"/>
  <c r="J20" i="4" s="1"/>
  <c r="O8" i="2"/>
  <c r="J39" i="4"/>
  <c r="I39" i="4"/>
  <c r="P5" i="2"/>
  <c r="G44" i="14"/>
  <c r="E36" i="4"/>
  <c r="P24" i="2"/>
  <c r="O24" i="2"/>
  <c r="G53" i="14"/>
  <c r="P16" i="2"/>
  <c r="AA51" i="10"/>
  <c r="AB51" i="10" s="1"/>
  <c r="I34" i="4"/>
  <c r="J34" i="4"/>
  <c r="J24" i="4"/>
  <c r="E107" i="14"/>
  <c r="F39" i="4"/>
  <c r="AG79" i="1"/>
  <c r="D100" i="14"/>
  <c r="G20" i="7"/>
  <c r="H20" i="7" s="1"/>
  <c r="K20" i="7" s="1"/>
  <c r="E96" i="14"/>
  <c r="F28" i="4"/>
  <c r="AG68" i="1"/>
  <c r="T4" i="2"/>
  <c r="E19" i="6"/>
  <c r="D19" i="6"/>
  <c r="H104" i="15"/>
  <c r="G104" i="15"/>
  <c r="F104" i="15"/>
  <c r="E104" i="15"/>
  <c r="D104" i="15"/>
  <c r="H56" i="14"/>
  <c r="V56" i="14"/>
  <c r="Z56" i="14" s="1"/>
  <c r="E86" i="14"/>
  <c r="F18" i="4"/>
  <c r="G18" i="4" s="1"/>
  <c r="H18" i="4" s="1"/>
  <c r="AG58" i="1"/>
  <c r="D94" i="14"/>
  <c r="G14" i="7"/>
  <c r="H14" i="7" s="1"/>
  <c r="K14" i="7" s="1"/>
  <c r="T14" i="2"/>
  <c r="E13" i="16"/>
  <c r="E7" i="16"/>
  <c r="E14" i="16"/>
  <c r="E16" i="16"/>
  <c r="E15" i="16"/>
  <c r="D90" i="14"/>
  <c r="G10" i="7"/>
  <c r="H10" i="7" s="1"/>
  <c r="K10" i="7" s="1"/>
  <c r="H47" i="14"/>
  <c r="V47" i="14" s="1"/>
  <c r="Z47" i="14" s="1"/>
  <c r="I28" i="4"/>
  <c r="J28" i="4"/>
  <c r="H50" i="14"/>
  <c r="V50" i="14"/>
  <c r="Z50" i="14" s="1"/>
  <c r="P22" i="2"/>
  <c r="D99" i="14"/>
  <c r="G19" i="7"/>
  <c r="H19" i="7" s="1"/>
  <c r="K19" i="7" s="1"/>
  <c r="T19" i="2"/>
  <c r="J19" i="4"/>
  <c r="D20" i="6"/>
  <c r="E20" i="6"/>
  <c r="B105" i="10"/>
  <c r="B104" i="10"/>
  <c r="Y17" i="10"/>
  <c r="H55" i="14"/>
  <c r="V55" i="14" s="1"/>
  <c r="Z55" i="14" s="1"/>
  <c r="H58" i="14"/>
  <c r="V58" i="14" s="1"/>
  <c r="Z58" i="14" s="1"/>
  <c r="D91" i="14"/>
  <c r="G11" i="7"/>
  <c r="H11" i="7" s="1"/>
  <c r="K11" i="7" s="1"/>
  <c r="H42" i="14"/>
  <c r="V42" i="14" s="1"/>
  <c r="I38" i="4"/>
  <c r="J38" i="4"/>
  <c r="T11" i="2"/>
  <c r="B25" i="16"/>
  <c r="W42" i="14"/>
  <c r="E91" i="14"/>
  <c r="F23" i="4"/>
  <c r="AG63" i="1"/>
  <c r="E100" i="14"/>
  <c r="F32" i="4"/>
  <c r="G32" i="4" s="1"/>
  <c r="H32" i="4" s="1"/>
  <c r="AG72" i="1"/>
  <c r="T26" i="2"/>
  <c r="D101" i="14"/>
  <c r="G21" i="7"/>
  <c r="H21" i="7" s="1"/>
  <c r="K21" i="7" s="1"/>
  <c r="T21" i="2"/>
  <c r="E101" i="14"/>
  <c r="F33" i="4"/>
  <c r="AG73" i="1"/>
  <c r="E104" i="14"/>
  <c r="F36" i="4"/>
  <c r="AG76" i="1"/>
  <c r="G51" i="14"/>
  <c r="P20" i="2"/>
  <c r="E99" i="14"/>
  <c r="F31" i="4"/>
  <c r="G31" i="4" s="1"/>
  <c r="H31" i="4" s="1"/>
  <c r="AG71" i="1"/>
  <c r="D92" i="14"/>
  <c r="G12" i="7"/>
  <c r="H12" i="7" s="1"/>
  <c r="K12" i="7" s="1"/>
  <c r="T12" i="2"/>
  <c r="D102" i="14"/>
  <c r="G22" i="7"/>
  <c r="H22" i="7" s="1"/>
  <c r="K22" i="7" s="1"/>
  <c r="P19" i="2"/>
  <c r="G46" i="14"/>
  <c r="E84" i="14"/>
  <c r="B91" i="1"/>
  <c r="AC81" i="1"/>
  <c r="B88" i="1"/>
  <c r="B90" i="1"/>
  <c r="B89" i="1"/>
  <c r="F16" i="4"/>
  <c r="AG56" i="1"/>
  <c r="B84" i="1"/>
  <c r="D16" i="6"/>
  <c r="E16" i="6"/>
  <c r="B106" i="10"/>
  <c r="D102" i="15" l="1"/>
  <c r="B108" i="10"/>
  <c r="H102" i="15"/>
  <c r="F100" i="15"/>
  <c r="E101" i="15"/>
  <c r="G39" i="4"/>
  <c r="H39" i="4" s="1"/>
  <c r="G100" i="15"/>
  <c r="V52" i="14"/>
  <c r="Z52" i="14" s="1"/>
  <c r="AA52" i="14" s="1"/>
  <c r="H100" i="15"/>
  <c r="G102" i="15"/>
  <c r="I20" i="4"/>
  <c r="G20" i="4" s="1"/>
  <c r="H20" i="4" s="1"/>
  <c r="E102" i="15"/>
  <c r="O30" i="2"/>
  <c r="D100" i="15"/>
  <c r="G23" i="4"/>
  <c r="H23" i="4" s="1"/>
  <c r="G35" i="4"/>
  <c r="H35" i="4" s="1"/>
  <c r="AA49" i="14"/>
  <c r="C91" i="14"/>
  <c r="G91" i="14" s="1"/>
  <c r="G18" i="11"/>
  <c r="F18" i="11"/>
  <c r="B19" i="11"/>
  <c r="AA61" i="14"/>
  <c r="C103" i="14"/>
  <c r="G103" i="14" s="1"/>
  <c r="C107" i="14"/>
  <c r="G107" i="14" s="1"/>
  <c r="AA65" i="14"/>
  <c r="C102" i="14"/>
  <c r="G102" i="14" s="1"/>
  <c r="AA60" i="14"/>
  <c r="C96" i="14"/>
  <c r="G96" i="14" s="1"/>
  <c r="AA54" i="14"/>
  <c r="AA58" i="14"/>
  <c r="C100" i="14"/>
  <c r="G100" i="14" s="1"/>
  <c r="AA55" i="14"/>
  <c r="C97" i="14"/>
  <c r="G97" i="14" s="1"/>
  <c r="C89" i="14"/>
  <c r="G89" i="14" s="1"/>
  <c r="AA47" i="14"/>
  <c r="C24" i="16"/>
  <c r="Z42" i="14"/>
  <c r="H44" i="14"/>
  <c r="V44" i="14" s="1"/>
  <c r="Z44" i="14" s="1"/>
  <c r="D97" i="14"/>
  <c r="G17" i="7"/>
  <c r="H17" i="7" s="1"/>
  <c r="K17" i="7" s="1"/>
  <c r="T17" i="2"/>
  <c r="C23" i="16"/>
  <c r="B46" i="5"/>
  <c r="F41" i="4"/>
  <c r="G16" i="4"/>
  <c r="C99" i="14"/>
  <c r="G99" i="14" s="1"/>
  <c r="AA57" i="14"/>
  <c r="B102" i="10"/>
  <c r="I29" i="4"/>
  <c r="G29" i="4" s="1"/>
  <c r="H29" i="4" s="1"/>
  <c r="J29" i="4"/>
  <c r="G17" i="4"/>
  <c r="H17" i="4" s="1"/>
  <c r="G33" i="4"/>
  <c r="H33" i="4" s="1"/>
  <c r="B103" i="10"/>
  <c r="C89" i="1"/>
  <c r="D15" i="3" s="1"/>
  <c r="B15" i="3"/>
  <c r="C90" i="1"/>
  <c r="D16" i="3" s="1"/>
  <c r="B16" i="3"/>
  <c r="G28" i="4"/>
  <c r="H28" i="4" s="1"/>
  <c r="B14" i="3"/>
  <c r="C88" i="1"/>
  <c r="C25" i="16"/>
  <c r="B75" i="14"/>
  <c r="B17" i="3"/>
  <c r="C91" i="1"/>
  <c r="D17" i="3" s="1"/>
  <c r="B45" i="5" s="1"/>
  <c r="F16" i="16"/>
  <c r="H62" i="14"/>
  <c r="V62" i="14" s="1"/>
  <c r="Z62" i="14" s="1"/>
  <c r="B7" i="6"/>
  <c r="D7" i="6" s="1"/>
  <c r="B6" i="6"/>
  <c r="D5" i="6"/>
  <c r="C26" i="16"/>
  <c r="B76" i="14"/>
  <c r="F15" i="16"/>
  <c r="H45" i="14"/>
  <c r="V45" i="14" s="1"/>
  <c r="Z45" i="14" s="1"/>
  <c r="B7" i="16"/>
  <c r="F7" i="16" s="1"/>
  <c r="B11" i="16"/>
  <c r="F11" i="16" s="1"/>
  <c r="C98" i="14"/>
  <c r="G98" i="14" s="1"/>
  <c r="AA56" i="14"/>
  <c r="H48" i="14"/>
  <c r="V48" i="14"/>
  <c r="Z48" i="14" s="1"/>
  <c r="D88" i="14"/>
  <c r="G8" i="7"/>
  <c r="H8" i="7" s="1"/>
  <c r="K8" i="7" s="1"/>
  <c r="T8" i="2"/>
  <c r="K4" i="7"/>
  <c r="H53" i="14"/>
  <c r="V53" i="14" s="1"/>
  <c r="Z53" i="14" s="1"/>
  <c r="D77" i="15"/>
  <c r="F77" i="15"/>
  <c r="G77" i="15" s="1"/>
  <c r="C92" i="14"/>
  <c r="G92" i="14" s="1"/>
  <c r="AA50" i="14"/>
  <c r="H51" i="14"/>
  <c r="V51" i="14" s="1"/>
  <c r="Z51" i="14" s="1"/>
  <c r="D104" i="14"/>
  <c r="G24" i="7"/>
  <c r="H24" i="7" s="1"/>
  <c r="K24" i="7" s="1"/>
  <c r="T24" i="2"/>
  <c r="G34" i="4"/>
  <c r="H34" i="4" s="1"/>
  <c r="H64" i="14"/>
  <c r="V64" i="14" s="1"/>
  <c r="Z64" i="14" s="1"/>
  <c r="H59" i="14"/>
  <c r="V59" i="14" s="1"/>
  <c r="Z59" i="14" s="1"/>
  <c r="E10" i="16"/>
  <c r="E9" i="16"/>
  <c r="H46" i="14"/>
  <c r="V46" i="14" s="1"/>
  <c r="Z46" i="14" s="1"/>
  <c r="B24" i="16"/>
  <c r="H63" i="14"/>
  <c r="V63" i="14"/>
  <c r="Z63" i="14" s="1"/>
  <c r="H43" i="14"/>
  <c r="V43" i="14"/>
  <c r="Z43" i="14" s="1"/>
  <c r="C22" i="16"/>
  <c r="C28" i="16"/>
  <c r="B9" i="3"/>
  <c r="B8" i="5" s="1"/>
  <c r="C8" i="5" s="1"/>
  <c r="B85" i="1"/>
  <c r="I36" i="4"/>
  <c r="G36" i="4" s="1"/>
  <c r="H36" i="4" s="1"/>
  <c r="J36" i="4"/>
  <c r="F44" i="4" s="1"/>
  <c r="G38" i="4"/>
  <c r="H38" i="4" s="1"/>
  <c r="C94" i="14" l="1"/>
  <c r="G94" i="14" s="1"/>
  <c r="B79" i="14"/>
  <c r="C95" i="14"/>
  <c r="G95" i="14" s="1"/>
  <c r="AA53" i="14"/>
  <c r="AA46" i="14"/>
  <c r="C88" i="14"/>
  <c r="G88" i="14" s="1"/>
  <c r="C104" i="14"/>
  <c r="G104" i="14" s="1"/>
  <c r="AA62" i="14"/>
  <c r="C86" i="14"/>
  <c r="G86" i="14" s="1"/>
  <c r="AA44" i="14"/>
  <c r="AA64" i="14"/>
  <c r="C106" i="14"/>
  <c r="G106" i="14" s="1"/>
  <c r="C78" i="15"/>
  <c r="B55" i="16"/>
  <c r="C84" i="14"/>
  <c r="G84" i="14" s="1"/>
  <c r="C27" i="16"/>
  <c r="B73" i="14"/>
  <c r="AA42" i="14"/>
  <c r="AB65" i="14"/>
  <c r="B107" i="14"/>
  <c r="F107" i="14" s="1"/>
  <c r="H107" i="14" s="1"/>
  <c r="B10" i="16"/>
  <c r="F10" i="16" s="1"/>
  <c r="B8" i="6"/>
  <c r="D8" i="6" s="1"/>
  <c r="D6" i="6"/>
  <c r="B11" i="6"/>
  <c r="D11" i="6" s="1"/>
  <c r="B103" i="14"/>
  <c r="F103" i="14" s="1"/>
  <c r="H103" i="14" s="1"/>
  <c r="AB61" i="14"/>
  <c r="AB50" i="14"/>
  <c r="B92" i="14"/>
  <c r="F92" i="14" s="1"/>
  <c r="H92" i="14" s="1"/>
  <c r="B102" i="14"/>
  <c r="F102" i="14" s="1"/>
  <c r="H102" i="14" s="1"/>
  <c r="AB60" i="14"/>
  <c r="C101" i="14"/>
  <c r="G101" i="14" s="1"/>
  <c r="AA59" i="14"/>
  <c r="B23" i="16"/>
  <c r="H16" i="4"/>
  <c r="F43" i="4"/>
  <c r="F42" i="4"/>
  <c r="I77" i="15"/>
  <c r="E77" i="15"/>
  <c r="J77" i="15" s="1"/>
  <c r="H77" i="15"/>
  <c r="C87" i="14"/>
  <c r="G87" i="14" s="1"/>
  <c r="AA45" i="14"/>
  <c r="D19" i="11"/>
  <c r="E19" i="11" s="1"/>
  <c r="AA43" i="14"/>
  <c r="C85" i="14"/>
  <c r="G85" i="14" s="1"/>
  <c r="C105" i="14"/>
  <c r="G105" i="14" s="1"/>
  <c r="AA63" i="14"/>
  <c r="J30" i="7"/>
  <c r="B94" i="14"/>
  <c r="F94" i="14" s="1"/>
  <c r="H94" i="14" s="1"/>
  <c r="AB52" i="14"/>
  <c r="B97" i="14"/>
  <c r="F97" i="14" s="1"/>
  <c r="H97" i="14" s="1"/>
  <c r="AB55" i="14"/>
  <c r="AB57" i="14"/>
  <c r="B99" i="14"/>
  <c r="F99" i="14" s="1"/>
  <c r="H99" i="14" s="1"/>
  <c r="AB56" i="14"/>
  <c r="B98" i="14"/>
  <c r="F98" i="14" s="1"/>
  <c r="H98" i="14" s="1"/>
  <c r="B89" i="14"/>
  <c r="F89" i="14" s="1"/>
  <c r="H89" i="14" s="1"/>
  <c r="AB47" i="14"/>
  <c r="B92" i="1"/>
  <c r="D14" i="3"/>
  <c r="C90" i="14"/>
  <c r="G90" i="14" s="1"/>
  <c r="AA48" i="14"/>
  <c r="B74" i="14"/>
  <c r="AB58" i="14"/>
  <c r="B100" i="14"/>
  <c r="F100" i="14" s="1"/>
  <c r="H100" i="14" s="1"/>
  <c r="B22" i="16"/>
  <c r="B28" i="16"/>
  <c r="B10" i="3"/>
  <c r="F9" i="16"/>
  <c r="E12" i="16"/>
  <c r="F12" i="16" s="1"/>
  <c r="AA51" i="14"/>
  <c r="C93" i="14"/>
  <c r="G93" i="14" s="1"/>
  <c r="B96" i="14"/>
  <c r="F96" i="14" s="1"/>
  <c r="H96" i="14" s="1"/>
  <c r="AB54" i="14"/>
  <c r="B91" i="14"/>
  <c r="F91" i="14" s="1"/>
  <c r="H91" i="14" s="1"/>
  <c r="AB49" i="14"/>
  <c r="B18" i="16" l="1"/>
  <c r="B20" i="11"/>
  <c r="G19" i="11"/>
  <c r="F19" i="11"/>
  <c r="B27" i="16"/>
  <c r="B68" i="14"/>
  <c r="B69" i="14"/>
  <c r="B84" i="14"/>
  <c r="F84" i="14" s="1"/>
  <c r="H84" i="14" s="1"/>
  <c r="B72" i="14"/>
  <c r="B71" i="14"/>
  <c r="B70" i="14"/>
  <c r="AB42" i="14"/>
  <c r="B106" i="14"/>
  <c r="F106" i="14" s="1"/>
  <c r="H106" i="14" s="1"/>
  <c r="AB64" i="14"/>
  <c r="AB48" i="14"/>
  <c r="B90" i="14"/>
  <c r="F90" i="14" s="1"/>
  <c r="H90" i="14" s="1"/>
  <c r="AB62" i="14"/>
  <c r="B104" i="14"/>
  <c r="F104" i="14" s="1"/>
  <c r="H104" i="14" s="1"/>
  <c r="B7" i="5"/>
  <c r="C7" i="5" s="1"/>
  <c r="B44" i="5"/>
  <c r="B6" i="5"/>
  <c r="C6" i="5" s="1"/>
  <c r="C10" i="5" s="1"/>
  <c r="B42" i="5"/>
  <c r="B43" i="5"/>
  <c r="B47" i="5"/>
  <c r="AB51" i="14"/>
  <c r="B93" i="14"/>
  <c r="F93" i="14" s="1"/>
  <c r="H93" i="14" s="1"/>
  <c r="B57" i="16"/>
  <c r="C29" i="16"/>
  <c r="B29" i="16"/>
  <c r="A18" i="3"/>
  <c r="B87" i="14"/>
  <c r="F87" i="14" s="1"/>
  <c r="H87" i="14" s="1"/>
  <c r="AB45" i="14"/>
  <c r="D78" i="15"/>
  <c r="B86" i="14"/>
  <c r="F86" i="14" s="1"/>
  <c r="H86" i="14" s="1"/>
  <c r="AB44" i="14"/>
  <c r="B85" i="14"/>
  <c r="F85" i="14" s="1"/>
  <c r="H85" i="14" s="1"/>
  <c r="AB43" i="14"/>
  <c r="AB46" i="14"/>
  <c r="B88" i="14"/>
  <c r="F88" i="14" s="1"/>
  <c r="H88" i="14" s="1"/>
  <c r="AB63" i="14"/>
  <c r="B105" i="14"/>
  <c r="F105" i="14" s="1"/>
  <c r="H105" i="14" s="1"/>
  <c r="B101" i="14"/>
  <c r="F101" i="14" s="1"/>
  <c r="H101" i="14" s="1"/>
  <c r="AB59" i="14"/>
  <c r="AB53" i="14"/>
  <c r="B95" i="14"/>
  <c r="F95" i="14" s="1"/>
  <c r="H95" i="14" s="1"/>
  <c r="C30" i="16" l="1"/>
  <c r="D30" i="16" s="1"/>
  <c r="B16" i="5"/>
  <c r="B15" i="5"/>
  <c r="B17" i="5" s="1"/>
  <c r="B14" i="5"/>
  <c r="B13" i="5"/>
  <c r="C12" i="5"/>
  <c r="C11" i="5"/>
  <c r="D29" i="16"/>
  <c r="D24" i="16"/>
  <c r="D25" i="16"/>
  <c r="D26" i="16"/>
  <c r="D22" i="16"/>
  <c r="D27" i="16"/>
  <c r="E78" i="15"/>
  <c r="H78" i="15"/>
  <c r="F78" i="15"/>
  <c r="G78" i="15" s="1"/>
  <c r="I78" i="15" s="1"/>
  <c r="B60" i="16"/>
  <c r="B77" i="14"/>
  <c r="D20" i="11"/>
  <c r="E20" i="11" s="1"/>
  <c r="B33" i="16" l="1"/>
  <c r="D28" i="16"/>
  <c r="D31" i="16"/>
  <c r="B59" i="16"/>
  <c r="D23" i="16"/>
  <c r="D33" i="16" s="1"/>
  <c r="C33" i="16"/>
  <c r="B21" i="11"/>
  <c r="G20" i="11"/>
  <c r="F20" i="11"/>
  <c r="B38" i="11"/>
  <c r="J78" i="15"/>
  <c r="C79" i="15"/>
  <c r="B58" i="16"/>
  <c r="B30" i="16"/>
  <c r="D79" i="15" l="1"/>
  <c r="F79" i="15" s="1"/>
  <c r="E21" i="11"/>
  <c r="D21" i="11"/>
  <c r="F21" i="11" l="1"/>
  <c r="B22" i="11"/>
  <c r="G21" i="11"/>
  <c r="E79" i="15"/>
  <c r="H79" i="15"/>
  <c r="G79" i="15"/>
  <c r="I79" i="15" s="1"/>
  <c r="J79" i="15" l="1"/>
  <c r="C80" i="15"/>
  <c r="D22" i="11"/>
  <c r="E22" i="11" s="1"/>
  <c r="G22" i="11" l="1"/>
  <c r="F22" i="11"/>
  <c r="B23" i="11"/>
  <c r="D80" i="15"/>
  <c r="F80" i="15" s="1"/>
  <c r="G80" i="15" l="1"/>
  <c r="D23" i="11"/>
  <c r="E23" i="11" s="1"/>
  <c r="E80" i="15"/>
  <c r="I80" i="15"/>
  <c r="H80" i="15"/>
  <c r="B24" i="11" l="1"/>
  <c r="G23" i="11"/>
  <c r="F23" i="11"/>
  <c r="C81" i="15"/>
  <c r="J80" i="15"/>
  <c r="D24" i="11" l="1"/>
  <c r="E24" i="11"/>
  <c r="D81" i="15"/>
  <c r="E81" i="15" l="1"/>
  <c r="H81" i="15"/>
  <c r="B25" i="11"/>
  <c r="G24" i="11"/>
  <c r="F24" i="11"/>
  <c r="F81" i="15"/>
  <c r="G81" i="15" s="1"/>
  <c r="C82" i="15" l="1"/>
  <c r="I81" i="15"/>
  <c r="J81" i="15" s="1"/>
  <c r="E25" i="11"/>
  <c r="D25" i="11"/>
  <c r="G25" i="11" l="1"/>
  <c r="F25" i="11"/>
  <c r="B39" i="11"/>
  <c r="B26" i="11"/>
  <c r="D82" i="15"/>
  <c r="E82" i="15" l="1"/>
  <c r="H82" i="15"/>
  <c r="F82" i="15"/>
  <c r="G82" i="15"/>
  <c r="D26" i="11"/>
  <c r="E26" i="11" s="1"/>
  <c r="B27" i="11" l="1"/>
  <c r="G26" i="11"/>
  <c r="F26" i="11"/>
  <c r="C83" i="15"/>
  <c r="I82" i="15"/>
  <c r="J82" i="15" s="1"/>
  <c r="D83" i="15" l="1"/>
  <c r="D27" i="11"/>
  <c r="E27" i="11" s="1"/>
  <c r="B28" i="11" l="1"/>
  <c r="G27" i="11"/>
  <c r="F27" i="11"/>
  <c r="E83" i="15"/>
  <c r="H83" i="15"/>
  <c r="F83" i="15"/>
  <c r="G83" i="15"/>
  <c r="I83" i="15" s="1"/>
  <c r="J83" i="15" l="1"/>
  <c r="C84" i="15"/>
  <c r="D28" i="11"/>
  <c r="E28" i="11" s="1"/>
  <c r="G28" i="11" l="1"/>
  <c r="F28" i="11"/>
  <c r="B29" i="11"/>
  <c r="D84" i="15"/>
  <c r="F84" i="15"/>
  <c r="G84" i="15" l="1"/>
  <c r="C85" i="15"/>
  <c r="D29" i="11"/>
  <c r="E29" i="11" s="1"/>
  <c r="E84" i="15"/>
  <c r="I84" i="15"/>
  <c r="H84" i="15"/>
  <c r="J84" i="15" l="1"/>
  <c r="G29" i="11"/>
  <c r="B30" i="11"/>
  <c r="F29" i="11"/>
  <c r="D85" i="15"/>
  <c r="F85" i="15"/>
  <c r="G85" i="15" s="1"/>
  <c r="C86" i="15" l="1"/>
  <c r="E85" i="15"/>
  <c r="I85" i="15"/>
  <c r="H85" i="15"/>
  <c r="D30" i="11"/>
  <c r="E30" i="11" s="1"/>
  <c r="J85" i="15" l="1"/>
  <c r="B31" i="11"/>
  <c r="G30" i="11"/>
  <c r="F30" i="11"/>
  <c r="D86" i="15"/>
  <c r="E86" i="15" l="1"/>
  <c r="F86" i="15"/>
  <c r="G86" i="15"/>
  <c r="H86" i="15"/>
  <c r="D31" i="11"/>
  <c r="E31" i="11" s="1"/>
  <c r="F31" i="11" l="1"/>
  <c r="B32" i="11"/>
  <c r="G31" i="11"/>
  <c r="C87" i="15"/>
  <c r="I86" i="15"/>
  <c r="J86" i="15" s="1"/>
  <c r="D87" i="15" l="1"/>
  <c r="F87" i="15"/>
  <c r="D32" i="11"/>
  <c r="E32" i="11"/>
  <c r="G32" i="11" l="1"/>
  <c r="F32" i="11"/>
  <c r="B33" i="11"/>
  <c r="E87" i="15"/>
  <c r="H87" i="15"/>
  <c r="G87" i="15"/>
  <c r="C88" i="15" l="1"/>
  <c r="I87" i="15"/>
  <c r="J87" i="15" s="1"/>
  <c r="D33" i="11"/>
  <c r="E33" i="11" s="1"/>
  <c r="G33" i="11" l="1"/>
  <c r="B34" i="11"/>
  <c r="F33" i="11"/>
  <c r="D88" i="15"/>
  <c r="E88" i="15" l="1"/>
  <c r="H88" i="15"/>
  <c r="D34" i="11"/>
  <c r="E34" i="11" s="1"/>
  <c r="F88" i="15"/>
  <c r="G88" i="15" s="1"/>
  <c r="B35" i="11" l="1"/>
  <c r="G34" i="11"/>
  <c r="F34" i="11"/>
  <c r="C89" i="15"/>
  <c r="I88" i="15"/>
  <c r="J88" i="15" s="1"/>
  <c r="D89" i="15" l="1"/>
  <c r="F89" i="15"/>
  <c r="G89" i="15" s="1"/>
  <c r="D35" i="11"/>
  <c r="E35" i="11" s="1"/>
  <c r="B40" i="11" l="1"/>
  <c r="G35" i="11"/>
  <c r="F35" i="11"/>
  <c r="C90" i="15"/>
  <c r="I89" i="15"/>
  <c r="E89" i="15"/>
  <c r="J89" i="15" s="1"/>
  <c r="H89" i="15"/>
  <c r="D90" i="15" l="1"/>
  <c r="E90" i="15" l="1"/>
  <c r="F90" i="15"/>
  <c r="G90" i="15"/>
  <c r="H90" i="15"/>
  <c r="C91" i="15" l="1"/>
  <c r="I90" i="15"/>
  <c r="J90" i="15" s="1"/>
  <c r="D91" i="15" l="1"/>
  <c r="E91" i="15" l="1"/>
  <c r="H91" i="15"/>
  <c r="F91" i="15"/>
  <c r="G91" i="15"/>
  <c r="C92" i="15" l="1"/>
  <c r="I91" i="15"/>
  <c r="J91" i="15" s="1"/>
  <c r="D92" i="15" l="1"/>
  <c r="F92" i="15"/>
  <c r="G92" i="15"/>
  <c r="C93" i="15" l="1"/>
  <c r="E92" i="15"/>
  <c r="J92" i="15" s="1"/>
  <c r="I92" i="15"/>
  <c r="H92" i="15"/>
  <c r="D93" i="15" l="1"/>
  <c r="E93" i="15" l="1"/>
  <c r="H93" i="15"/>
  <c r="F93" i="15"/>
  <c r="G93" i="15" s="1"/>
  <c r="C94" i="15" l="1"/>
  <c r="I93" i="15"/>
  <c r="J93" i="15" s="1"/>
  <c r="D94" i="15" l="1"/>
  <c r="E94" i="15" l="1"/>
  <c r="H94" i="15"/>
  <c r="F94" i="15"/>
  <c r="G94" i="15"/>
  <c r="C95" i="15" l="1"/>
  <c r="I94" i="15"/>
  <c r="J94" i="15" s="1"/>
  <c r="D95" i="15" l="1"/>
  <c r="F95" i="15"/>
  <c r="E95" i="15" l="1"/>
  <c r="H95" i="15"/>
  <c r="G95" i="15"/>
  <c r="I95" i="15" l="1"/>
  <c r="J95" i="15" s="1"/>
  <c r="D10" i="16"/>
  <c r="D7" i="16"/>
</calcChain>
</file>

<file path=xl/sharedStrings.xml><?xml version="1.0" encoding="utf-8"?>
<sst xmlns="http://schemas.openxmlformats.org/spreadsheetml/2006/main" count="1631" uniqueCount="1165">
  <si>
    <t>MARLINE DATA INPUT — Single Source of Truth for All Portfolio Data</t>
  </si>
  <si>
    <t>COLOR LEGEND:</t>
  </si>
  <si>
    <t>Blue = Manual Input</t>
  </si>
  <si>
    <t>Red = YCharts Add-In (auto)</t>
  </si>
  <si>
    <t>Orange = DWA Import (paste)</t>
  </si>
  <si>
    <t>Light Blue = Market Data (auto)</t>
  </si>
  <si>
    <t>Black = Computed Formula</t>
  </si>
  <si>
    <t>PORTFOLIO ASSUMPTIONS</t>
  </si>
  <si>
    <t>Risk-Free Rate</t>
  </si>
  <si>
    <t>Auto from YCharts 10Y Treasury yield or manual override</t>
  </si>
  <si>
    <t>Benchmark Return</t>
  </si>
  <si>
    <t>Auto from YCharts SPY 1Y return or manual</t>
  </si>
  <si>
    <t>Benchmark Vol</t>
  </si>
  <si>
    <t>Auto from YCharts SPY 1Y volatility or manual</t>
  </si>
  <si>
    <t>Portfolio Value</t>
  </si>
  <si>
    <t>Total AUM — update monthly</t>
  </si>
  <si>
    <t>Rebalance Band (±%)</t>
  </si>
  <si>
    <t>Drift threshold to trigger rebalance</t>
  </si>
  <si>
    <t>Max Single Asset</t>
  </si>
  <si>
    <t>Position concentration limit</t>
  </si>
  <si>
    <t>Min Single Asset</t>
  </si>
  <si>
    <t>Minimum meaningful position</t>
  </si>
  <si>
    <t>Max Equity</t>
  </si>
  <si>
    <t>Total equity allocation cap</t>
  </si>
  <si>
    <t>Min Fixed Income</t>
  </si>
  <si>
    <t>Minimum bond allocation floor</t>
  </si>
  <si>
    <t>Max Alternatives</t>
  </si>
  <si>
    <t>Alternatives + MF + hedge cap</t>
  </si>
  <si>
    <t>LIVE MARKET DATA — YCharts Auto-Refresh</t>
  </si>
  <si>
    <t>S&amp;P 500 Price</t>
  </si>
  <si>
    <t>SPY last price</t>
  </si>
  <si>
    <t>S&amp;P 500 1Y Return</t>
  </si>
  <si>
    <t>Benchmark trailing 1Y</t>
  </si>
  <si>
    <t>Nasdaq 100 1Y Return</t>
  </si>
  <si>
    <t>Growth benchmark</t>
  </si>
  <si>
    <t>VIX Level</t>
  </si>
  <si>
    <t>CBOE Volatility Index — feeds Buffered ETF regime</t>
  </si>
  <si>
    <t>10-Year Treasury Yield</t>
  </si>
  <si>
    <t>Risk-free rate proxy</t>
  </si>
  <si>
    <t>2-Year Treasury Yield</t>
  </si>
  <si>
    <t>Short-term rate</t>
  </si>
  <si>
    <t>Yield Curve Spread</t>
  </si>
  <si>
    <t>10Y minus 2Y — inversion = recession risk</t>
  </si>
  <si>
    <t>US Dollar Index</t>
  </si>
  <si>
    <t>Dollar strength</t>
  </si>
  <si>
    <t>Gold Price</t>
  </si>
  <si>
    <t>Safe haven gauge</t>
  </si>
  <si>
    <t>High Yield Spread</t>
  </si>
  <si>
    <t>Credit stress indicator</t>
  </si>
  <si>
    <t>Market Breadth (SPY RSI)</t>
  </si>
  <si>
    <t>Breadth proxy 0-100</t>
  </si>
  <si>
    <t>Put/Call Ratio Proxy</t>
  </si>
  <si>
    <t>Sentiment (inverse of breadth)</t>
  </si>
  <si>
    <t>FSM THRESHOLDS</t>
  </si>
  <si>
    <t>Fully Invested ≥</t>
  </si>
  <si>
    <t>Caution ≥</t>
  </si>
  <si>
    <t>Defensive ≥</t>
  </si>
  <si>
    <t>Risk Off &lt;</t>
  </si>
  <si>
    <t>CASH TRIGGER THRESHOLDS</t>
  </si>
  <si>
    <t>MMPR50 Trigger &lt;</t>
  </si>
  <si>
    <t>MMPR70 Trigger &lt;</t>
  </si>
  <si>
    <t>PR4050 Trigger &lt;</t>
  </si>
  <si>
    <t>PR4080 Trigger &lt;</t>
  </si>
  <si>
    <t>COMPOSITE SIGNAL WEIGHTS</t>
  </si>
  <si>
    <t>Trend Weight</t>
  </si>
  <si>
    <t>Technical Weight</t>
  </si>
  <si>
    <t>Fundamental Weight</t>
  </si>
  <si>
    <t>DWA Weight</t>
  </si>
  <si>
    <t>Weights Total</t>
  </si>
  <si>
    <t>Must = 100%</t>
  </si>
  <si>
    <t>PORTFOLIO HOLDINGS — Master Ticker Data (All sheets reference this)</t>
  </si>
  <si>
    <t>Red cells = YCharts YCPS() auto-refresh | Orange cells = paste from DWA export | Black = formulas</t>
  </si>
  <si>
    <t>Ticker</t>
  </si>
  <si>
    <t>Class</t>
  </si>
  <si>
    <t>Type</t>
  </si>
  <si>
    <t>Price</t>
  </si>
  <si>
    <t>1Y Return</t>
  </si>
  <si>
    <t>3Y Ann Rtn</t>
  </si>
  <si>
    <t>5Y Ann Rtn</t>
  </si>
  <si>
    <t>Volatility</t>
  </si>
  <si>
    <t>Max DD 3Y</t>
  </si>
  <si>
    <t>Beta 5Y</t>
  </si>
  <si>
    <t>Div Yield</t>
  </si>
  <si>
    <t>Fwd P/E</t>
  </si>
  <si>
    <t>1M Return</t>
  </si>
  <si>
    <t>3M Return</t>
  </si>
  <si>
    <t>6M Return</t>
  </si>
  <si>
    <t>12M Return</t>
  </si>
  <si>
    <t>DWA RS Score</t>
  </si>
  <si>
    <t>DWA RS Rating</t>
  </si>
  <si>
    <t>DWA Signal</t>
  </si>
  <si>
    <t>DWA Matrix</t>
  </si>
  <si>
    <t>DWA Sector RS</t>
  </si>
  <si>
    <t>Sharpe</t>
  </si>
  <si>
    <t>Sortino</t>
  </si>
  <si>
    <t>Info Ratio</t>
  </si>
  <si>
    <t>Treynor</t>
  </si>
  <si>
    <t>Trend Score</t>
  </si>
  <si>
    <t>Technical Score</t>
  </si>
  <si>
    <t>Fundamental Score</t>
  </si>
  <si>
    <t>Composite Score</t>
  </si>
  <si>
    <t>Target Wt</t>
  </si>
  <si>
    <t>Current Wt</t>
  </si>
  <si>
    <t>Drift</t>
  </si>
  <si>
    <t>Action</t>
  </si>
  <si>
    <t>Manual</t>
  </si>
  <si>
    <t>YCharts Auto</t>
  </si>
  <si>
    <t>DWA Paste</t>
  </si>
  <si>
    <t>Computed</t>
  </si>
  <si>
    <t>SPY</t>
  </si>
  <si>
    <t>US Eq</t>
  </si>
  <si>
    <t>ETF</t>
  </si>
  <si>
    <t>QQQ</t>
  </si>
  <si>
    <t>IWM</t>
  </si>
  <si>
    <t>EFA</t>
  </si>
  <si>
    <t>Intl</t>
  </si>
  <si>
    <t>EEM</t>
  </si>
  <si>
    <t>AGG</t>
  </si>
  <si>
    <t>Bond</t>
  </si>
  <si>
    <t>N/A</t>
  </si>
  <si>
    <t>TLT</t>
  </si>
  <si>
    <t>GLD</t>
  </si>
  <si>
    <t>Alt</t>
  </si>
  <si>
    <t>VNQ</t>
  </si>
  <si>
    <t>REIT</t>
  </si>
  <si>
    <t>XLK</t>
  </si>
  <si>
    <t>XLV</t>
  </si>
  <si>
    <t>XLE</t>
  </si>
  <si>
    <t>XLF</t>
  </si>
  <si>
    <t>DBMF</t>
  </si>
  <si>
    <t>MF</t>
  </si>
  <si>
    <t>CTA</t>
  </si>
  <si>
    <t>KMLM</t>
  </si>
  <si>
    <t>BTAL</t>
  </si>
  <si>
    <t>Hedge</t>
  </si>
  <si>
    <t>TAIL</t>
  </si>
  <si>
    <t>AAPL</t>
  </si>
  <si>
    <t>Stock</t>
  </si>
  <si>
    <t>MSFT</t>
  </si>
  <si>
    <t>NVDA</t>
  </si>
  <si>
    <t>JPM</t>
  </si>
  <si>
    <t>VFIAX</t>
  </si>
  <si>
    <t>PIMIX</t>
  </si>
  <si>
    <t>TOTALS</t>
  </si>
  <si>
    <t>AVERAGES</t>
  </si>
  <si>
    <t>BUY Signals</t>
  </si>
  <si>
    <t>HOLD Signals</t>
  </si>
  <si>
    <t>SELL Signals</t>
  </si>
  <si>
    <t>FSM MODEL (computed from DWA scores)</t>
  </si>
  <si>
    <t>Bullish %</t>
  </si>
  <si>
    <t>FSM Signal</t>
  </si>
  <si>
    <t>CASH TRIGGERS (computed from composite scores)</t>
  </si>
  <si>
    <t>MMPR50</t>
  </si>
  <si>
    <t>MMPR70</t>
  </si>
  <si>
    <t>PR4050</t>
  </si>
  <si>
    <t>PR4080</t>
  </si>
  <si>
    <t>OVERALL</t>
  </si>
  <si>
    <t>DWA DATA IMPORT GUIDE</t>
  </si>
  <si>
    <t>HOW TO POPULATE DWA DATA (Orange columns Q-U):</t>
  </si>
  <si>
    <t>OPTION A: Nasdaq Dorsey Wright Platform (Recommended)</t>
  </si>
  <si>
    <t xml:space="preserve">  1. Log into research.dorseywright.com → Research → Relative Strength</t>
  </si>
  <si>
    <t xml:space="preserve">  2. Enter your 24 tickers → Generate report</t>
  </si>
  <si>
    <t xml:space="preserve">  3. Export to Excel → Copy columns: RS Score, RS Rating (1-5), Signal, Matrix Position, Sector RS</t>
  </si>
  <si>
    <t xml:space="preserve">  4. Paste into this sheet columns Q-U, rows 56-79</t>
  </si>
  <si>
    <t>OPTION B: DWA Point &amp; Figure Chart Manual Entry</t>
  </si>
  <si>
    <t xml:space="preserve">  1. Open each ticker's P&amp;F chart on dorseywright.com</t>
  </si>
  <si>
    <t xml:space="preserve">  2. Record: RS Score (0-100), Rating (1=worst, 5=best)</t>
  </si>
  <si>
    <t xml:space="preserve">  3. Signal: BUY if last P&amp;F signal was buy, SELL if sell, HOLD if neutral</t>
  </si>
  <si>
    <t xml:space="preserve">  4. Matrix: OFFENSE if RS improving, DEFENSE if declining, NEUTRAL if flat</t>
  </si>
  <si>
    <t xml:space="preserve">  5. Sector RS: FAVOR if sector is above avg, DISFAVOR if below, NEUTRAL</t>
  </si>
  <si>
    <t>OPTION C: Orion / Tamarac Integration</t>
  </si>
  <si>
    <t xml:space="preserve">  1. If using Orion Portfolio Solutions with DWA overlay, export the DWA signals</t>
  </si>
  <si>
    <t xml:space="preserve">  2. Map: Orion RS Score → col Q, Orion Signal → col S</t>
  </si>
  <si>
    <t>OPTION D: Leave DWA Blank (Fallback Mode)</t>
  </si>
  <si>
    <t xml:space="preserve">  If DWA columns are empty, the Composite Score (col AC) uses momentum-based</t>
  </si>
  <si>
    <t xml:space="preserve">  DWA proxy: =50 + (1M×0.4 + 3M×0.3 + 6M×0.2 + 12M×0.1) × 200</t>
  </si>
  <si>
    <t xml:space="preserve">  This is less precise than actual DWA RS scores but functional.</t>
  </si>
  <si>
    <t>DWA DATA REFRESH FREQUENCY:</t>
  </si>
  <si>
    <t xml:space="preserve">  RS Scores: Update weekly (Friday close)</t>
  </si>
  <si>
    <t xml:space="preserve">  RS Ratings: Update weekly</t>
  </si>
  <si>
    <t xml:space="preserve">  Signals: Update when P&amp;F chart generates new buy/sell</t>
  </si>
  <si>
    <t xml:space="preserve">  Matrix: Update monthly or when regime changes</t>
  </si>
  <si>
    <t xml:space="preserve">  Sector RS: Update monthly</t>
  </si>
  <si>
    <t>YCHARTS ADD-IN AUTO-REFRESH</t>
  </si>
  <si>
    <t>All red-font cells contain =YCPS() formulas that auto-populate when the YCharts Excel Add-In is active.</t>
  </si>
  <si>
    <t>SETUP: Install YCharts Excel Add-In → Sign in → All YCPS() cells refresh automatically on file open.</t>
  </si>
  <si>
    <t>REFRESH: YCharts tab → Refresh All (or Ctrl+Alt+F9 to force recalc).</t>
  </si>
  <si>
    <t>FREQUENCY: Price = real-time; Returns/Vol/Beta = daily close; Fundamentals = daily; Earnings = quarterly.</t>
  </si>
  <si>
    <t>WITHOUT YCHARTS ADD-IN:</t>
  </si>
  <si>
    <t xml:space="preserve">  All YCPS() formulas are wrapped in IFERROR() and return blank when Add-In is absent.</t>
  </si>
  <si>
    <t xml:space="preserve">  To use manually: Go to ycharts.com → Comp Tables → Add tickers → Export to Excel → Paste values.</t>
  </si>
  <si>
    <t xml:space="preserve">  Paste 1Y Return into col E, Vol into col H, Beta into col J, Momentum into cols M-P, etc.</t>
  </si>
  <si>
    <t>METRIC CODES USED IN THIS SHEET:</t>
  </si>
  <si>
    <t xml:space="preserve">  price, one_year_return, three_year_annualized_return, five_year_annualized_return,</t>
  </si>
  <si>
    <t xml:space="preserve">  one_year_volatility, max_drawdown_3_year, beta_5_year, dividend_yield, forward_pe_ratio,</t>
  </si>
  <si>
    <t xml:space="preserve">  one_month_return, three_month_return, six_month_return</t>
  </si>
  <si>
    <t>SECURITY ANALYSIS — Blue cells are inputs. All other cells are formulas.</t>
  </si>
  <si>
    <t>Ann Return</t>
  </si>
  <si>
    <t>Beta</t>
  </si>
  <si>
    <t>Max DD</t>
  </si>
  <si>
    <t>1M Mom</t>
  </si>
  <si>
    <t>3M Mom</t>
  </si>
  <si>
    <t>6M Mom</t>
  </si>
  <si>
    <t>12M Mom</t>
  </si>
  <si>
    <t>DWA Score</t>
  </si>
  <si>
    <t>RS Rank</t>
  </si>
  <si>
    <t>SIGNAL COUNTS</t>
  </si>
  <si>
    <t>PORTFOLIO DASHBOARD — All values computed from Asset Analysis &amp; Data Input</t>
  </si>
  <si>
    <t>PORTFOLIO METRICS</t>
  </si>
  <si>
    <t>Weighted Return</t>
  </si>
  <si>
    <t>Weighted Vol</t>
  </si>
  <si>
    <t>Avg Max DD</t>
  </si>
  <si>
    <t>Avg Beta</t>
  </si>
  <si>
    <t># Assets</t>
  </si>
  <si>
    <t># BUY Signals</t>
  </si>
  <si>
    <t>FSM MODEL STATUS</t>
  </si>
  <si>
    <t>CASH TRIGGERS</t>
  </si>
  <si>
    <t>Trigger</t>
  </si>
  <si>
    <t>Current</t>
  </si>
  <si>
    <t>Threshold</t>
  </si>
  <si>
    <t>Status</t>
  </si>
  <si>
    <t>MULTI-FACTOR SIGNAL ENGINE — All scores are formulas</t>
  </si>
  <si>
    <t>WEIGHTS (from Data Input)</t>
  </si>
  <si>
    <t>Trend</t>
  </si>
  <si>
    <t>Technical</t>
  </si>
  <si>
    <t>Fundamental</t>
  </si>
  <si>
    <t>DWA</t>
  </si>
  <si>
    <t>SIGNAL THRESHOLDS</t>
  </si>
  <si>
    <t>STRONG BUY</t>
  </si>
  <si>
    <t>≥70</t>
  </si>
  <si>
    <t>3+ factors ≥60</t>
  </si>
  <si>
    <t>Overweight aggressively</t>
  </si>
  <si>
    <t>BUY</t>
  </si>
  <si>
    <t>≥60</t>
  </si>
  <si>
    <t>2+ factors ≥60</t>
  </si>
  <si>
    <t>Add / Initiate</t>
  </si>
  <si>
    <t>HOLD</t>
  </si>
  <si>
    <t>45-59</t>
  </si>
  <si>
    <t>Mixed</t>
  </si>
  <si>
    <t>Maintain weight</t>
  </si>
  <si>
    <t>SELL</t>
  </si>
  <si>
    <t>&lt;45</t>
  </si>
  <si>
    <t>≤1 factor ≥60</t>
  </si>
  <si>
    <t>Trim / Reduce</t>
  </si>
  <si>
    <t>STRONG SELL</t>
  </si>
  <si>
    <t>&lt;35</t>
  </si>
  <si>
    <t>0-1 factors</t>
  </si>
  <si>
    <t>Exit / Replace w/ buffered</t>
  </si>
  <si>
    <t>COMPOSITE SIGNALS</t>
  </si>
  <si>
    <t>Composite</t>
  </si>
  <si>
    <t>Signal</t>
  </si>
  <si>
    <t>Conviction</t>
  </si>
  <si>
    <t>Factors ≥60</t>
  </si>
  <si>
    <t>Divergence</t>
  </si>
  <si>
    <t>SUMMARY</t>
  </si>
  <si>
    <t>Buy Signals</t>
  </si>
  <si>
    <t>Sell Signals</t>
  </si>
  <si>
    <t>Divergences</t>
  </si>
  <si>
    <t>BUFFERED ETF ALLOCATION — Regime score drives allocation (all formulas)</t>
  </si>
  <si>
    <t>REGIME SCORING ENGINE</t>
  </si>
  <si>
    <t>Component</t>
  </si>
  <si>
    <t>Input</t>
  </si>
  <si>
    <t>Score</t>
  </si>
  <si>
    <t>Max</t>
  </si>
  <si>
    <t>Logic</t>
  </si>
  <si>
    <t>Volatility (VIX Input)</t>
  </si>
  <si>
    <t>VIX&gt;30=25, &gt;25=22, &gt;20=18, &gt;15=12, else 6</t>
  </si>
  <si>
    <t>FSM Regime</t>
  </si>
  <si>
    <t>RISK OFF=25, DEFENSIVE=20, CAUTION=12, else 5</t>
  </si>
  <si>
    <t>Cash Triggers Active</t>
  </si>
  <si>
    <t>7 pts per trigger, max 25</t>
  </si>
  <si>
    <t>Trend (% in uptrend)</t>
  </si>
  <si>
    <t>&lt;30%=25, &lt;40%=20, &lt;50%=15, &lt;60%=8, else 3</t>
  </si>
  <si>
    <t>TOTAL REGIME SCORE</t>
  </si>
  <si>
    <t>URGENCY</t>
  </si>
  <si>
    <t>TARGET ALLOCATION</t>
  </si>
  <si>
    <t>Min %</t>
  </si>
  <si>
    <t>Target %</t>
  </si>
  <si>
    <t>Max %</t>
  </si>
  <si>
    <t>$ Target</t>
  </si>
  <si>
    <t>ALLOCATION SCALE</t>
  </si>
  <si>
    <t>Regime</t>
  </si>
  <si>
    <t>Allocation</t>
  </si>
  <si>
    <t>Products</t>
  </si>
  <si>
    <t>Urgency</t>
  </si>
  <si>
    <t>MINIMAL</t>
  </si>
  <si>
    <t>0-34</t>
  </si>
  <si>
    <t>0-12%</t>
  </si>
  <si>
    <t>DDT/DDF (high caps), small BUFR</t>
  </si>
  <si>
    <t>MONITOR</t>
  </si>
  <si>
    <t>STANDARD</t>
  </si>
  <si>
    <t>35-54</t>
  </si>
  <si>
    <t>8-20%</t>
  </si>
  <si>
    <t>BUFR core, DDSQ/DDNQ tactical</t>
  </si>
  <si>
    <t>NEXT REBALANCE</t>
  </si>
  <si>
    <t>ELEVATED</t>
  </si>
  <si>
    <t>55-74</t>
  </si>
  <si>
    <t>15-28%</t>
  </si>
  <si>
    <t>BUFR+DDT, BUFS small cap</t>
  </si>
  <si>
    <t>THIS WEEK</t>
  </si>
  <si>
    <t>MAXIMUM</t>
  </si>
  <si>
    <t>75-100</t>
  </si>
  <si>
    <t>25-35%</t>
  </si>
  <si>
    <t>BUFZ deep, DDF 15%, shift eq→buf</t>
  </si>
  <si>
    <t>IMMEDIATE</t>
  </si>
  <si>
    <t>PRODUCT UNIVERSE</t>
  </si>
  <si>
    <t>Name</t>
  </si>
  <si>
    <t>Provider</t>
  </si>
  <si>
    <t>Reference</t>
  </si>
  <si>
    <t>Buffer</t>
  </si>
  <si>
    <t>Period</t>
  </si>
  <si>
    <t>BUFR</t>
  </si>
  <si>
    <t>Laddered Moderate Buffer</t>
  </si>
  <si>
    <t>First Trust</t>
  </si>
  <si>
    <t>S&amp;P 500</t>
  </si>
  <si>
    <t>15%</t>
  </si>
  <si>
    <t>12-mo Ladder</t>
  </si>
  <si>
    <t>BUFZ</t>
  </si>
  <si>
    <t>Laddered Deep Buffer</t>
  </si>
  <si>
    <t>5-30%</t>
  </si>
  <si>
    <t>Deep Buffer</t>
  </si>
  <si>
    <t>BUFS</t>
  </si>
  <si>
    <t>Small Cap Moderate</t>
  </si>
  <si>
    <t>Russell 2000</t>
  </si>
  <si>
    <t>Quarterly</t>
  </si>
  <si>
    <t>BUFY</t>
  </si>
  <si>
    <t>Int'l Moderate</t>
  </si>
  <si>
    <t>MSCI EAFE</t>
  </si>
  <si>
    <t>DDT</t>
  </si>
  <si>
    <t>Dual Directional 10</t>
  </si>
  <si>
    <t>Innovator</t>
  </si>
  <si>
    <t>10%</t>
  </si>
  <si>
    <t>1Y Monthly</t>
  </si>
  <si>
    <t>Dual Dir</t>
  </si>
  <si>
    <t>DDF</t>
  </si>
  <si>
    <t>Dual Directional 15</t>
  </si>
  <si>
    <t>DDSQ</t>
  </si>
  <si>
    <t>Quarterly DD (SPY)</t>
  </si>
  <si>
    <t>5%</t>
  </si>
  <si>
    <t>3M Quarterly</t>
  </si>
  <si>
    <t>DDNQ</t>
  </si>
  <si>
    <t>Quarterly DD (QQQ)</t>
  </si>
  <si>
    <t>Nasdaq-100</t>
  </si>
  <si>
    <t>INTEGRATION TRIGGERS</t>
  </si>
  <si>
    <t>Condition Met?</t>
  </si>
  <si>
    <t>FSM RISK OFF</t>
  </si>
  <si>
    <t>Max buffer 25-35%</t>
  </si>
  <si>
    <t>BUFZ+DDF</t>
  </si>
  <si>
    <t>FSM DEFENSIVE</t>
  </si>
  <si>
    <t>Elevated 15-28%</t>
  </si>
  <si>
    <t>BUFR+DDT</t>
  </si>
  <si>
    <t>MMPR50 Triggered</t>
  </si>
  <si>
    <t>Buffer +5%</t>
  </si>
  <si>
    <t>BUFR priority</t>
  </si>
  <si>
    <t>PR4080 Triggered</t>
  </si>
  <si>
    <t>Emergency: 15% eq→buffer</t>
  </si>
  <si>
    <t>BUFZ/BUFD deep</t>
  </si>
  <si>
    <t>Avg Composite ≤ 35</t>
  </si>
  <si>
    <t>Replace sells w/ buffered</t>
  </si>
  <si>
    <t>BUFR/DDT</t>
  </si>
  <si>
    <t>VIX&lt;15 + FULLY INVESTED</t>
  </si>
  <si>
    <t>Optimal entry — lock high caps</t>
  </si>
  <si>
    <t>DDT/DDF ladder</t>
  </si>
  <si>
    <t>RISK MANAGEMENT — Metrics computed from portfolio data</t>
  </si>
  <si>
    <t>PORTFOLIO RISK METRICS</t>
  </si>
  <si>
    <t>Metric</t>
  </si>
  <si>
    <t>Value</t>
  </si>
  <si>
    <t>Wtd Portfolio Vol</t>
  </si>
  <si>
    <t>VaR 95% Daily</t>
  </si>
  <si>
    <t>VaR 99% Daily</t>
  </si>
  <si>
    <t>CVaR 95% (est)</t>
  </si>
  <si>
    <t>Portfolio Beta</t>
  </si>
  <si>
    <t>Avg Max Drawdown</t>
  </si>
  <si>
    <t>$ at Risk (95% daily)</t>
  </si>
  <si>
    <t>STRESS TESTS</t>
  </si>
  <si>
    <t>Scenario</t>
  </si>
  <si>
    <t>Market Shock</t>
  </si>
  <si>
    <t>Est. Portfolio Impact</t>
  </si>
  <si>
    <t>$ Loss</t>
  </si>
  <si>
    <t>Recovery Est.</t>
  </si>
  <si>
    <t>Market Crash -20%</t>
  </si>
  <si>
    <t>Rate Shock +200bp</t>
  </si>
  <si>
    <t>Tech Correction -15%</t>
  </si>
  <si>
    <t>Recession -12%</t>
  </si>
  <si>
    <t>Flash Crash -10%</t>
  </si>
  <si>
    <t>Pandemic -30%</t>
  </si>
  <si>
    <t>HEDGING RECOMMENDATIONS</t>
  </si>
  <si>
    <t>Corr to SPY</t>
  </si>
  <si>
    <t>Crisis Alpha</t>
  </si>
  <si>
    <t>Need Level</t>
  </si>
  <si>
    <t>3-5%</t>
  </si>
  <si>
    <t>HIGH</t>
  </si>
  <si>
    <t>MEDIUM</t>
  </si>
  <si>
    <t>3-7%</t>
  </si>
  <si>
    <t>5-10%</t>
  </si>
  <si>
    <t>5-15%</t>
  </si>
  <si>
    <t>LOW</t>
  </si>
  <si>
    <t>BUFR/BUFZ</t>
  </si>
  <si>
    <t>10-30%</t>
  </si>
  <si>
    <t>See Buffered ETF tab</t>
  </si>
  <si>
    <t>REBALANCING WORKFLOW — All drift/action computed from Asset Analysis</t>
  </si>
  <si>
    <t>Target%</t>
  </si>
  <si>
    <t>Current%</t>
  </si>
  <si>
    <t>Band</t>
  </si>
  <si>
    <t>Breach?</t>
  </si>
  <si>
    <t>Shares</t>
  </si>
  <si>
    <t>$ Amount</t>
  </si>
  <si>
    <t>Tax</t>
  </si>
  <si>
    <t>Priority</t>
  </si>
  <si>
    <t>Total Trades</t>
  </si>
  <si>
    <t># Rebalance Actions</t>
  </si>
  <si>
    <t>STRATEGIC ALLOCATION — Bands &amp; status computed</t>
  </si>
  <si>
    <t>Asset Class</t>
  </si>
  <si>
    <t>Min%</t>
  </si>
  <si>
    <t>Max%</t>
  </si>
  <si>
    <t>Deviation</t>
  </si>
  <si>
    <t>US Large Cap</t>
  </si>
  <si>
    <t>US Small/Mid</t>
  </si>
  <si>
    <t>Intl Developed</t>
  </si>
  <si>
    <t>Emerging Markets</t>
  </si>
  <si>
    <t>IG Bonds</t>
  </si>
  <si>
    <t>Long Treasury</t>
  </si>
  <si>
    <t>REITs</t>
  </si>
  <si>
    <t>Gold/Commodities</t>
  </si>
  <si>
    <t>Managed Futures</t>
  </si>
  <si>
    <t>Tail Hedges</t>
  </si>
  <si>
    <t>Cash</t>
  </si>
  <si>
    <t>TOTAL</t>
  </si>
  <si>
    <t>TRADING DESK &amp; EXECUTION</t>
  </si>
  <si>
    <t>INVIOLABLE TRADING PROTOCOLS</t>
  </si>
  <si>
    <t>1. Limit Orders Only — No market orders except emergency risk reduction</t>
  </si>
  <si>
    <t>2. 5% Daily Limit — No single trade &gt; 5% of portfolio value</t>
  </si>
  <si>
    <t>3. DWA Confirmation — No BUY on assets with DWA &lt; 50</t>
  </si>
  <si>
    <t>4. Tax-Loss Harvest — Check TLH before any SELL</t>
  </si>
  <si>
    <t>5. Cash Trigger Override — If triggered, prioritize risk reduction</t>
  </si>
  <si>
    <t>6. OPEX Awareness — No large trades within 2 days of OPEX</t>
  </si>
  <si>
    <t>7. Sells Before Buys — All sells executed before buy orders</t>
  </si>
  <si>
    <t>8. Post-Trade Verify — Confirm allocations match targets</t>
  </si>
  <si>
    <t>9. Buffered ETF Check — Review regime score before equity adds</t>
  </si>
  <si>
    <t>EXECUTION CHECKLIST</t>
  </si>
  <si>
    <t>☐ Review FSM signal (Dashboard!B10)</t>
  </si>
  <si>
    <t>☐ Check cash triggers (Dashboard!D14:D17)</t>
  </si>
  <si>
    <t>☐ Check Buffered ETF regime score (Buffered ETF Strategy!C10)</t>
  </si>
  <si>
    <t>☐ Verify composite signals (Signal Engine tab)</t>
  </si>
  <si>
    <t>☐ Calculate drift from targets (Rebalancing tab)</t>
  </si>
  <si>
    <t>☐ Screen for TLH opportunities</t>
  </si>
  <si>
    <t>☐ Review OPEX calendar (SpotGamma)</t>
  </si>
  <si>
    <t>☐ Generate trade list + limit prices</t>
  </si>
  <si>
    <t>☐ Execute sells before buys</t>
  </si>
  <si>
    <t>☐ Confirm post-trade allocations</t>
  </si>
  <si>
    <t>☐ Log trades with rationale</t>
  </si>
  <si>
    <t>☐ Schedule next rebalance</t>
  </si>
  <si>
    <t>SCREENING UNIVERSE — Ticker inventory with auto-scoring &amp; add/delete recommendations</t>
  </si>
  <si>
    <t>Blue = manual input or YCharts paste | Black = formula | Red = YCharts Add-In formula (auto-populates) | Green = cross-sheet reference</t>
  </si>
  <si>
    <t>SCREENING THRESHOLDS (adjust these to change recommendations)</t>
  </si>
  <si>
    <t>Min Sharpe to ADD</t>
  </si>
  <si>
    <t>B5</t>
  </si>
  <si>
    <t>Min DWA Score to ADD</t>
  </si>
  <si>
    <t>B6</t>
  </si>
  <si>
    <t>Min Composite to ADD</t>
  </si>
  <si>
    <t>B7</t>
  </si>
  <si>
    <t>Max Vol to ADD</t>
  </si>
  <si>
    <t>B8</t>
  </si>
  <si>
    <t>Min Return to ADD</t>
  </si>
  <si>
    <t>B9</t>
  </si>
  <si>
    <t>Max Sharpe to DELETE</t>
  </si>
  <si>
    <t>B10</t>
  </si>
  <si>
    <t>Max DWA Score to DELETE</t>
  </si>
  <si>
    <t>B11</t>
  </si>
  <si>
    <t>Max Composite to DELETE</t>
  </si>
  <si>
    <t>B12</t>
  </si>
  <si>
    <t>Max Drawdown to DELETE</t>
  </si>
  <si>
    <t>B13</t>
  </si>
  <si>
    <t>Sub-Class</t>
  </si>
  <si>
    <t>3Y Return</t>
  </si>
  <si>
    <t>5Y Return</t>
  </si>
  <si>
    <t>In Portfolio?</t>
  </si>
  <si>
    <t>Recommendation</t>
  </si>
  <si>
    <t>SPDR S&amp;P 500</t>
  </si>
  <si>
    <t>US Equity</t>
  </si>
  <si>
    <t>Large Cap</t>
  </si>
  <si>
    <t>VOO</t>
  </si>
  <si>
    <t>Vanguard S&amp;P 500</t>
  </si>
  <si>
    <t>Invesco Nasdaq 100</t>
  </si>
  <si>
    <t>Large Growth</t>
  </si>
  <si>
    <t>VTI</t>
  </si>
  <si>
    <t>Vanguard Total Stock</t>
  </si>
  <si>
    <t>Broad</t>
  </si>
  <si>
    <t>IVV</t>
  </si>
  <si>
    <t>iShares Core S&amp;P 500</t>
  </si>
  <si>
    <t>RSP</t>
  </si>
  <si>
    <t>Invesco Equal Weight S&amp;P</t>
  </si>
  <si>
    <t>Equal Wt</t>
  </si>
  <si>
    <t>SCHD</t>
  </si>
  <si>
    <t>Schwab US Dividend</t>
  </si>
  <si>
    <t>Dividend</t>
  </si>
  <si>
    <t>VIG</t>
  </si>
  <si>
    <t>Vanguard Div Appreciation</t>
  </si>
  <si>
    <t>DGRO</t>
  </si>
  <si>
    <t>iShares Dividend Growth</t>
  </si>
  <si>
    <t>DGRW</t>
  </si>
  <si>
    <t>WisdomTree Growth</t>
  </si>
  <si>
    <t>Quality Growth</t>
  </si>
  <si>
    <t>Technology Select</t>
  </si>
  <si>
    <t>Sector</t>
  </si>
  <si>
    <t>Technology</t>
  </si>
  <si>
    <t>Health Care Select</t>
  </si>
  <si>
    <t>Healthcare</t>
  </si>
  <si>
    <t>Energy Select</t>
  </si>
  <si>
    <t>Energy</t>
  </si>
  <si>
    <t>Financial Select</t>
  </si>
  <si>
    <t>Financials</t>
  </si>
  <si>
    <t>XLI</t>
  </si>
  <si>
    <t>Industrial Select</t>
  </si>
  <si>
    <t>Industrials</t>
  </si>
  <si>
    <t>XLP</t>
  </si>
  <si>
    <t>Consumer Staples</t>
  </si>
  <si>
    <t>Staples</t>
  </si>
  <si>
    <t>XLU</t>
  </si>
  <si>
    <t>Utilities Select</t>
  </si>
  <si>
    <t>Utilities</t>
  </si>
  <si>
    <t>XLY</t>
  </si>
  <si>
    <t>Consumer Disc Select</t>
  </si>
  <si>
    <t>Discretionary</t>
  </si>
  <si>
    <t>XLC</t>
  </si>
  <si>
    <t>Communication Svcs</t>
  </si>
  <si>
    <t>Communication</t>
  </si>
  <si>
    <t>XLRE</t>
  </si>
  <si>
    <t>Real Estate Select</t>
  </si>
  <si>
    <t>Real Estate</t>
  </si>
  <si>
    <t>iShares Russell 2000</t>
  </si>
  <si>
    <t>Small Cap</t>
  </si>
  <si>
    <t>IJR</t>
  </si>
  <si>
    <t>iShares Core S&amp;P Small</t>
  </si>
  <si>
    <t>MDY</t>
  </si>
  <si>
    <t>SPDR S&amp;P MidCap 400</t>
  </si>
  <si>
    <t>Mid Cap</t>
  </si>
  <si>
    <t>VB</t>
  </si>
  <si>
    <t>Vanguard Small Cap</t>
  </si>
  <si>
    <t>VO</t>
  </si>
  <si>
    <t>Vanguard Mid-Cap</t>
  </si>
  <si>
    <t>iShares MSCI EAFE</t>
  </si>
  <si>
    <t>Intl Equity</t>
  </si>
  <si>
    <t>Developed</t>
  </si>
  <si>
    <t>VEA</t>
  </si>
  <si>
    <t>Vanguard FTSE Developed</t>
  </si>
  <si>
    <t>iShares MSCI EM</t>
  </si>
  <si>
    <t>Emerging</t>
  </si>
  <si>
    <t>VWO</t>
  </si>
  <si>
    <t>Vanguard FTSE EM</t>
  </si>
  <si>
    <t>IXUS</t>
  </si>
  <si>
    <t>iShares Core Intl</t>
  </si>
  <si>
    <t>All-World ex US</t>
  </si>
  <si>
    <t>IEFA</t>
  </si>
  <si>
    <t>iShares Core EAFE</t>
  </si>
  <si>
    <t>EWJ</t>
  </si>
  <si>
    <t>iShares MSCI Japan</t>
  </si>
  <si>
    <t>Japan</t>
  </si>
  <si>
    <t>FXI</t>
  </si>
  <si>
    <t>iShares China Large</t>
  </si>
  <si>
    <t>China</t>
  </si>
  <si>
    <t>iShares Core US Agg</t>
  </si>
  <si>
    <t>Fixed Income</t>
  </si>
  <si>
    <t>Core Bond</t>
  </si>
  <si>
    <t>BND</t>
  </si>
  <si>
    <t>Vanguard Total Bond</t>
  </si>
  <si>
    <t>iShares 20+ Yr Treasury</t>
  </si>
  <si>
    <t>IEF</t>
  </si>
  <si>
    <t>iShares 7-10 Yr Treasury</t>
  </si>
  <si>
    <t>Interm Treasury</t>
  </si>
  <si>
    <t>SHY</t>
  </si>
  <si>
    <t>iShares 1-3 Yr Treasury</t>
  </si>
  <si>
    <t>Short Treasury</t>
  </si>
  <si>
    <t>VCIT</t>
  </si>
  <si>
    <t>Vanguard Interm Corp</t>
  </si>
  <si>
    <t>IG Corp</t>
  </si>
  <si>
    <t>LQD</t>
  </si>
  <si>
    <t>iShares IG Corporate</t>
  </si>
  <si>
    <t>HYG</t>
  </si>
  <si>
    <t>iShares High Yield</t>
  </si>
  <si>
    <t>High Yield</t>
  </si>
  <si>
    <t>TIP</t>
  </si>
  <si>
    <t>iShares TIPS Bond</t>
  </si>
  <si>
    <t>Inflation</t>
  </si>
  <si>
    <t>VGSH</t>
  </si>
  <si>
    <t>Vanguard Short Treasury</t>
  </si>
  <si>
    <t>Cash Proxy</t>
  </si>
  <si>
    <t>SPDR Gold Shares</t>
  </si>
  <si>
    <t>Alternatives</t>
  </si>
  <si>
    <t>Gold</t>
  </si>
  <si>
    <t>IAU</t>
  </si>
  <si>
    <t>iShares Gold Trust</t>
  </si>
  <si>
    <t>SLV</t>
  </si>
  <si>
    <t>iShares Silver Trust</t>
  </si>
  <si>
    <t>Silver</t>
  </si>
  <si>
    <t>GSG</t>
  </si>
  <si>
    <t>iShares S&amp;P GSCI</t>
  </si>
  <si>
    <t>Commodities</t>
  </si>
  <si>
    <t>Vanguard Real Estate</t>
  </si>
  <si>
    <t>VNQI</t>
  </si>
  <si>
    <t>Vanguard Intl REIT</t>
  </si>
  <si>
    <t>Intl REITs</t>
  </si>
  <si>
    <t>iMGP DBi Managed Futures</t>
  </si>
  <si>
    <t>Simplify Managed Futures</t>
  </si>
  <si>
    <t>KFA MLM Index</t>
  </si>
  <si>
    <t>RSST</t>
  </si>
  <si>
    <t>Return Stacked US Stk+MF</t>
  </si>
  <si>
    <t>Stacked</t>
  </si>
  <si>
    <t>AGF US Mkt Neutral</t>
  </si>
  <si>
    <t>Anti-Beta</t>
  </si>
  <si>
    <t>Cambria Tail Risk</t>
  </si>
  <si>
    <t>Tail Protection</t>
  </si>
  <si>
    <t>CAOS</t>
  </si>
  <si>
    <t>Alpha Architect Tail Risk</t>
  </si>
  <si>
    <t>FT Vest Laddered Buffer</t>
  </si>
  <si>
    <t>Buffered</t>
  </si>
  <si>
    <t>Moderate</t>
  </si>
  <si>
    <t>FT Vest Deep Buffer</t>
  </si>
  <si>
    <t>Deep</t>
  </si>
  <si>
    <t>FT Vest SC Buffer</t>
  </si>
  <si>
    <t>FT Vest Intl Buffer</t>
  </si>
  <si>
    <t>International</t>
  </si>
  <si>
    <t>Apple Inc</t>
  </si>
  <si>
    <t>Mega Cap</t>
  </si>
  <si>
    <t>Microsoft Corp</t>
  </si>
  <si>
    <t>NVIDIA Corp</t>
  </si>
  <si>
    <t>GOOGL</t>
  </si>
  <si>
    <t>Alphabet Inc</t>
  </si>
  <si>
    <t>AMZN</t>
  </si>
  <si>
    <t>Amazon.com Inc</t>
  </si>
  <si>
    <t>JPMorgan Chase</t>
  </si>
  <si>
    <t>BRK.B</t>
  </si>
  <si>
    <t>Berkshire Hathaway</t>
  </si>
  <si>
    <t>Conglomerate</t>
  </si>
  <si>
    <t>UNH</t>
  </si>
  <si>
    <t>UnitedHealth Group</t>
  </si>
  <si>
    <t>JNJ</t>
  </si>
  <si>
    <t>Johnson &amp; Johnson</t>
  </si>
  <si>
    <t>PG</t>
  </si>
  <si>
    <t>Procter &amp; Gamble</t>
  </si>
  <si>
    <t>Consumer</t>
  </si>
  <si>
    <t>Vanguard 500 Index</t>
  </si>
  <si>
    <t>Mutual Fund</t>
  </si>
  <si>
    <t>VTSAX</t>
  </si>
  <si>
    <t>VBTLX</t>
  </si>
  <si>
    <t>PIMCO Income Fund</t>
  </si>
  <si>
    <t>Multi-Sector</t>
  </si>
  <si>
    <t>PRWCX</t>
  </si>
  <si>
    <t>T Rowe Price Cap App</t>
  </si>
  <si>
    <t>Balanced</t>
  </si>
  <si>
    <t>TRBCX</t>
  </si>
  <si>
    <t>T Rowe Price Blue Chip</t>
  </si>
  <si>
    <t>VWELX</t>
  </si>
  <si>
    <t>Vanguard Wellington</t>
  </si>
  <si>
    <t>OAKMX</t>
  </si>
  <si>
    <t>Oakmark Fund</t>
  </si>
  <si>
    <t>Large Value</t>
  </si>
  <si>
    <t>ARKK</t>
  </si>
  <si>
    <t>ARK Innovation</t>
  </si>
  <si>
    <t>Thematic</t>
  </si>
  <si>
    <t>Disruptive</t>
  </si>
  <si>
    <t>HACK</t>
  </si>
  <si>
    <t>ETFMG Cybersecurity</t>
  </si>
  <si>
    <t>Cybersecurity</t>
  </si>
  <si>
    <t>ICLN</t>
  </si>
  <si>
    <t>iShares Global Clean</t>
  </si>
  <si>
    <t>Clean Energy</t>
  </si>
  <si>
    <t>SUMMARY STATISTICS</t>
  </si>
  <si>
    <t>Total Securities Screened</t>
  </si>
  <si>
    <t>Currently In Portfolio</t>
  </si>
  <si>
    <t>Recommended to ADD</t>
  </si>
  <si>
    <t>Recommended to DELETE</t>
  </si>
  <si>
    <t>Strong Buy Signals</t>
  </si>
  <si>
    <t>Avg Composite Score</t>
  </si>
  <si>
    <t>Avg Sharpe Ratio</t>
  </si>
  <si>
    <t>P1 Actions Needed</t>
  </si>
  <si>
    <t>ACTION LIST — Securities to ADD (sorted by composite)</t>
  </si>
  <si>
    <t>Filter column AA for '→ ADD TO PORTFOLIO' and sort by W (Composite) descending</t>
  </si>
  <si>
    <t>ACTION LIST — Securities to DELETE</t>
  </si>
  <si>
    <t>Filter column AA for '→ DELETE FROM PORTFOLIO' — execute sells before buys per trading protocol</t>
  </si>
  <si>
    <t>PORTFOLIO FORECAST — Projected performance based on current allocation</t>
  </si>
  <si>
    <t>All projections are formula-driven from Asset Analysis weights &amp; returns. Adjust inputs to see scenarios update.</t>
  </si>
  <si>
    <t>FORECAST ASSUMPTIONS</t>
  </si>
  <si>
    <t>Wtd Expected Return</t>
  </si>
  <si>
    <t>Wtd Volatility</t>
  </si>
  <si>
    <t>Wtd Beta</t>
  </si>
  <si>
    <t>Inflation Assumption</t>
  </si>
  <si>
    <t>Annual Contribution</t>
  </si>
  <si>
    <t>MULTI-YEAR PROJECTION</t>
  </si>
  <si>
    <t>Year</t>
  </si>
  <si>
    <t>Start Value</t>
  </si>
  <si>
    <t>Contribution</t>
  </si>
  <si>
    <t>Expected Return ($)</t>
  </si>
  <si>
    <t>End Value</t>
  </si>
  <si>
    <t>Cumulative Return</t>
  </si>
  <si>
    <t>Real Value (Inflation-Adj)</t>
  </si>
  <si>
    <t>Optimistic (+1σ)</t>
  </si>
  <si>
    <t>Pessimistic (-1σ)</t>
  </si>
  <si>
    <t>Bear Case (-2σ)</t>
  </si>
  <si>
    <t>KEY MILESTONES</t>
  </si>
  <si>
    <t>5-Year Expected Value</t>
  </si>
  <si>
    <t>10-Year Expected Value</t>
  </si>
  <si>
    <t>20-Year Expected Value</t>
  </si>
  <si>
    <t>5-Yr Optimistic</t>
  </si>
  <si>
    <t>5-Yr Pessimistic</t>
  </si>
  <si>
    <t>10-Yr Optimistic</t>
  </si>
  <si>
    <t>10-Yr Pessimistic</t>
  </si>
  <si>
    <t>Years to Double (Rule of 72)</t>
  </si>
  <si>
    <t>RISK/RETURN ATTRIBUTION BY ASSET CLASS</t>
  </si>
  <si>
    <t>Weight</t>
  </si>
  <si>
    <t>Wtd Return Contrib</t>
  </si>
  <si>
    <t>Wtd Risk Contrib</t>
  </si>
  <si>
    <t>Sharpe Contrib</t>
  </si>
  <si>
    <t>Hedges</t>
  </si>
  <si>
    <t>SCENARIO COMPARE — Side-by-side allocation analysis</t>
  </si>
  <si>
    <t>Adjust allocations in each scenario (blue cells) to see projected metrics update automatically.</t>
  </si>
  <si>
    <t>Exp Return</t>
  </si>
  <si>
    <t>Exp Vol</t>
  </si>
  <si>
    <t>Current Wt%</t>
  </si>
  <si>
    <t>Current Contrib</t>
  </si>
  <si>
    <t>Conservative Wt%</t>
  </si>
  <si>
    <t>Conservative Contrib</t>
  </si>
  <si>
    <t>Growth Wt%</t>
  </si>
  <si>
    <t>Growth Contrib</t>
  </si>
  <si>
    <t>Max Sharpe Wt%</t>
  </si>
  <si>
    <t>Max Sharpe Contrib</t>
  </si>
  <si>
    <t>Buffered Tilt Wt%</t>
  </si>
  <si>
    <t>Buffered Tilt Contrib</t>
  </si>
  <si>
    <t>Core Bonds</t>
  </si>
  <si>
    <t>TIPS</t>
  </si>
  <si>
    <t>Buffered ETFs</t>
  </si>
  <si>
    <t>PROJECTED METRICS</t>
  </si>
  <si>
    <t>Conservative</t>
  </si>
  <si>
    <t>Growth</t>
  </si>
  <si>
    <t>Max Sharpe</t>
  </si>
  <si>
    <t>Buffered Tilt</t>
  </si>
  <si>
    <t>Expected Return</t>
  </si>
  <si>
    <t>Expected Volatility</t>
  </si>
  <si>
    <t>Expected Sharpe</t>
  </si>
  <si>
    <t>Max Drawdown Est</t>
  </si>
  <si>
    <t>5-Year Projected Value</t>
  </si>
  <si>
    <t>10-Year Projected Value</t>
  </si>
  <si>
    <t>Equity Exposure</t>
  </si>
  <si>
    <t>Fixed Income Exp</t>
  </si>
  <si>
    <t>Alternative Exp</t>
  </si>
  <si>
    <t>Buffer Allocation</t>
  </si>
  <si>
    <t>BEST SCENARIO BY METRIC</t>
  </si>
  <si>
    <t>Best Return</t>
  </si>
  <si>
    <t>Best Sharpe</t>
  </si>
  <si>
    <t>Best Lowest Risk</t>
  </si>
  <si>
    <t>YCHARTS EXCEL ADD-IN — Setup &amp; Integration Guide</t>
  </si>
  <si>
    <t>STEP 1: CONNECT YCHARTS TO EXCEL</t>
  </si>
  <si>
    <t>Option A: YCharts Excel Add-In (Recommended)</t>
  </si>
  <si>
    <t>Install the YCharts Excel Add-In from the Microsoft Store or your YCharts account settings. Once installed, you'll see a 'YCharts' tab in your Excel ribbon. Sign in with your YCharts credentials. All red-font formulas in the Screening Universe sheet will auto-populate with live data.</t>
  </si>
  <si>
    <t>Option B: YCharts Comp Table Export</t>
  </si>
  <si>
    <t>In YCharts → Research → Comp Tables, create a table with all tickers from Screening Universe. Add the metrics listed below. Export as Excel. Copy-paste values into the blue input columns.</t>
  </si>
  <si>
    <t>Option C: YCharts Screener CSV</t>
  </si>
  <si>
    <t>In YCharts → Screener, filter your universe. Export to CSV. Import into Excel and paste into the Screening Universe blue input columns.</t>
  </si>
  <si>
    <t>STEP 2: YCHARTS ADD-IN FORMULA REFERENCE</t>
  </si>
  <si>
    <t>Excel Formula</t>
  </si>
  <si>
    <t>YCharts Metric Code</t>
  </si>
  <si>
    <t>Category</t>
  </si>
  <si>
    <t>Use In</t>
  </si>
  <si>
    <t>Update Freq</t>
  </si>
  <si>
    <t>YCPS("SPY","price")</t>
  </si>
  <si>
    <t>price</t>
  </si>
  <si>
    <t>Quote</t>
  </si>
  <si>
    <t>Screening Universe E</t>
  </si>
  <si>
    <t>Real-time</t>
  </si>
  <si>
    <t>YCPS("SPY","one_year_return")</t>
  </si>
  <si>
    <t>one_year_return</t>
  </si>
  <si>
    <t>Performance</t>
  </si>
  <si>
    <t>Screening Universe F</t>
  </si>
  <si>
    <t>Daily</t>
  </si>
  <si>
    <t>YCPS("SPY","three_year_annualized_return")</t>
  </si>
  <si>
    <t>three_year_annualized_return</t>
  </si>
  <si>
    <t>Screening Universe G</t>
  </si>
  <si>
    <t>YCPS("SPY","five_year_annualized_return")</t>
  </si>
  <si>
    <t>five_year_annualized_return</t>
  </si>
  <si>
    <t>Screening Universe H</t>
  </si>
  <si>
    <t>YCPS("SPY","one_year_volatility")</t>
  </si>
  <si>
    <t>one_year_volatility</t>
  </si>
  <si>
    <t>Risk</t>
  </si>
  <si>
    <t>Screening Universe I</t>
  </si>
  <si>
    <t>YCPS("SPY","max_drawdown_3_year")</t>
  </si>
  <si>
    <t>max_drawdown_3_year</t>
  </si>
  <si>
    <t>Screening Universe K</t>
  </si>
  <si>
    <t>YCPS("SPY","beta_5_year")</t>
  </si>
  <si>
    <t>beta_5_year</t>
  </si>
  <si>
    <t>Screening Universe L</t>
  </si>
  <si>
    <t>YCPS("SPY","dividend_yield")</t>
  </si>
  <si>
    <t>dividend_yield</t>
  </si>
  <si>
    <t>Income</t>
  </si>
  <si>
    <t>Screening Universe M</t>
  </si>
  <si>
    <t>YCPS("SPY","forward_pe_ratio")</t>
  </si>
  <si>
    <t>forward_pe_ratio</t>
  </si>
  <si>
    <t>Valuation</t>
  </si>
  <si>
    <t>Screening Universe N</t>
  </si>
  <si>
    <t>YCPS("SPY","one_month_return")</t>
  </si>
  <si>
    <t>one_month_return</t>
  </si>
  <si>
    <t>Momentum</t>
  </si>
  <si>
    <t>Screening Universe O</t>
  </si>
  <si>
    <t>YCPS("SPY","three_month_return")</t>
  </si>
  <si>
    <t>three_month_return</t>
  </si>
  <si>
    <t>Screening Universe P</t>
  </si>
  <si>
    <t>YCPS("SPY","six_month_return")</t>
  </si>
  <si>
    <t>six_month_return</t>
  </si>
  <si>
    <t>Screening Universe Q</t>
  </si>
  <si>
    <t>YCPS("SPY","expense_ratio")</t>
  </si>
  <si>
    <t>expense_ratio</t>
  </si>
  <si>
    <t>Cost</t>
  </si>
  <si>
    <t>Fund analysis</t>
  </si>
  <si>
    <t>Monthly</t>
  </si>
  <si>
    <t>YCPS("SPY","net_assets")</t>
  </si>
  <si>
    <t>net_assets</t>
  </si>
  <si>
    <t>Size</t>
  </si>
  <si>
    <t>YCPS("SPY","alpha_5_year")</t>
  </si>
  <si>
    <t>alpha_5_year</t>
  </si>
  <si>
    <t>Risk-Adj</t>
  </si>
  <si>
    <t>YCPS("SPY","sharpe_ratio_5_year")</t>
  </si>
  <si>
    <t>sharpe_ratio_5_year</t>
  </si>
  <si>
    <t>YCPS("SPY","sortino_ratio_5_year")</t>
  </si>
  <si>
    <t>sortino_ratio_5_year</t>
  </si>
  <si>
    <t>YCPS("SPY","pe_ratio")</t>
  </si>
  <si>
    <t>pe_ratio</t>
  </si>
  <si>
    <t>Stock analysis</t>
  </si>
  <si>
    <t>YCPS("SPY","earnings_yield")</t>
  </si>
  <si>
    <t>earnings_yield</t>
  </si>
  <si>
    <t>YCPS("SPY","revenue_growth_yoy")</t>
  </si>
  <si>
    <t>revenue_growth_yoy</t>
  </si>
  <si>
    <t>YCPS("AAPL","eps_growth_yoy")</t>
  </si>
  <si>
    <t>eps_growth_yoy</t>
  </si>
  <si>
    <t>YCPS("AAPL","return_on_equity")</t>
  </si>
  <si>
    <t>return_on_equity</t>
  </si>
  <si>
    <t>Profitability</t>
  </si>
  <si>
    <t>YCPS("AAPL","debt_to_equity")</t>
  </si>
  <si>
    <t>debt_to_equity</t>
  </si>
  <si>
    <t>Leverage</t>
  </si>
  <si>
    <t>YCPS("AAPL","free_cash_flow_yield")</t>
  </si>
  <si>
    <t>free_cash_flow_yield</t>
  </si>
  <si>
    <t>Cash Flow</t>
  </si>
  <si>
    <t>STEP 3: WEEKLY WORKFLOW</t>
  </si>
  <si>
    <t>1. Open workbook → YCharts Add-In auto-refreshes all YCPS() formulas</t>
  </si>
  <si>
    <t>2. Review Screening Universe → Check 'Recommendation' column for ADD/DELETE flags</t>
  </si>
  <si>
    <t>3. Sort by Composite Score → Highest conviction opportunities at top</t>
  </si>
  <si>
    <t>4. Review Signal Engine tab → Confirm multi-factor agreement on flagged securities</t>
  </si>
  <si>
    <t>5. Check Dashboard → FSM signal, cash triggers, buffered ETF regime score</t>
  </si>
  <si>
    <t>6. Check Portfolio Forecast → Verify projected metrics still align with client goals</t>
  </si>
  <si>
    <t>7. Compare scenarios → Run Scenario Compare to test reallocation ideas</t>
  </si>
  <si>
    <t>8. Execute trades → Follow Trading Desk protocols (sells before buys)</t>
  </si>
  <si>
    <t>9. Update Asset Analysis → Adjust Current Weight column after trades</t>
  </si>
  <si>
    <t>10. Log and schedule → Record trades, schedule next weekly review</t>
  </si>
  <si>
    <t>STEP 4: ADDING NEW TICKERS</t>
  </si>
  <si>
    <t>1. Go to Screening Universe sheet → scroll to first empty row below the last ticker</t>
  </si>
  <si>
    <t>2. Enter Ticker (col A), Name (B), Class (C), Sub-Class (D) in blue cells</t>
  </si>
  <si>
    <t>3. Copy the YCPS() formulas from any row above into columns E through R</t>
  </si>
  <si>
    <t>4. The DWA Score (S), Trend (T), Technical (U), Fundamental (V), Composite (W) formulas will auto-calculate</t>
  </si>
  <si>
    <t>5. Signal (X), Conviction (Y), In Portfolio? (Z), Recommendation (AA) all auto-populate</t>
  </si>
  <si>
    <t>6. If recommendation = '→ ADD TO PORTFOLIO', proceed to Trading Desk for execution</t>
  </si>
  <si>
    <t>7. After adding to portfolio, update Asset Analysis sheet with the new position</t>
  </si>
  <si>
    <t>8. Update the filter range if you've extended beyond the original 80 rows</t>
  </si>
  <si>
    <t>TROUBLESHOOTING</t>
  </si>
  <si>
    <t>YCPS() returns NAME error</t>
  </si>
  <si>
    <t>YCharts Add-In not installed. Install from Microsoft Store or ycharts.com/excel</t>
  </si>
  <si>
    <t>YCPS() returns N/A error</t>
  </si>
  <si>
    <t>Invalid ticker or metric code. Verify ticker symbol and metric code from list above</t>
  </si>
  <si>
    <t>YCPS() returns VALUE error</t>
  </si>
  <si>
    <t>YCharts subscription expired or network issue. Check ycharts.com login</t>
  </si>
  <si>
    <t>Formulas show 0 or blank</t>
  </si>
  <si>
    <t>If no YCharts Add-In, manually paste data from YCharts Comp Table export into blue columns</t>
  </si>
  <si>
    <t>Composite scores all same</t>
  </si>
  <si>
    <t>Momentum data may be missing. Ensure columns O-R have valid return data</t>
  </si>
  <si>
    <t>Recommendation shows REVIEW</t>
  </si>
  <si>
    <t>Security passes some but not all thresholds. Adjust thresholds on Screening Universe row 5-13</t>
  </si>
  <si>
    <t>TECHNICAL ANALYSIS — Elliott Wave · Gann Angles · Bollinger Bands · Auto Buy/Sell Engine</t>
  </si>
  <si>
    <t>Blue = configurable parameters | Black = formula-driven signals | Green = cross-sheet data</t>
  </si>
  <si>
    <t>TECHNICAL PARAMETERS</t>
  </si>
  <si>
    <t>BOLLINGER BANDS</t>
  </si>
  <si>
    <t>BB Period (days)</t>
  </si>
  <si>
    <t>BB Std Dev Multiplier</t>
  </si>
  <si>
    <t>BB Squeeze Threshold</t>
  </si>
  <si>
    <t>BB Breakout Confirmation (%)</t>
  </si>
  <si>
    <t>ELLIOTT WAVE</t>
  </si>
  <si>
    <t>Wave 3 Min Extension (Fib)</t>
  </si>
  <si>
    <t>Wave 5 Max Extension (Fib)</t>
  </si>
  <si>
    <t>Wave 2 Max Retrace</t>
  </si>
  <si>
    <t>Wave 4 Max Retrace</t>
  </si>
  <si>
    <t>Impulse vs Corrective Threshold</t>
  </si>
  <si>
    <t>GANN ANGLES</t>
  </si>
  <si>
    <t>Gann Primary Angle (1×1)</t>
  </si>
  <si>
    <t>Gann Support Angle (2×1)</t>
  </si>
  <si>
    <t>Gann Resistance Angle (1×2)</t>
  </si>
  <si>
    <t>Price/Time Ratio Sensitivity</t>
  </si>
  <si>
    <t>Gann Square of 9 Base</t>
  </si>
  <si>
    <t>SIGNAL WEIGHTS (must sum to 100%)</t>
  </si>
  <si>
    <t>Bollinger Band Weight</t>
  </si>
  <si>
    <t>Elliott Wave Weight</t>
  </si>
  <si>
    <t>Gann Weight</t>
  </si>
  <si>
    <t>Volume/Momentum Confirm Weight</t>
  </si>
  <si>
    <t>AUTO BUY/SELL THRESHOLDS</t>
  </si>
  <si>
    <t>Strong Buy Score ≥</t>
  </si>
  <si>
    <t>Buy Score ≥</t>
  </si>
  <si>
    <t>Sell Score ≤</t>
  </si>
  <si>
    <t>Strong Sell Score ≤</t>
  </si>
  <si>
    <t>Confirmation Required (Y/N)</t>
  </si>
  <si>
    <t>Y</t>
  </si>
  <si>
    <t>Min Holding Period (days)</t>
  </si>
  <si>
    <t>ASSET TECHNICAL SCORING — All holdings auto-analyzed</t>
  </si>
  <si>
    <t>20D SMA</t>
  </si>
  <si>
    <t>Upper BB</t>
  </si>
  <si>
    <t>Lower BB</t>
  </si>
  <si>
    <t>BB Width</t>
  </si>
  <si>
    <t>BB %B</t>
  </si>
  <si>
    <t>BB Signal</t>
  </si>
  <si>
    <t>Wave Phase</t>
  </si>
  <si>
    <t>Wave Count</t>
  </si>
  <si>
    <t>Impulse?</t>
  </si>
  <si>
    <t>Fib Level</t>
  </si>
  <si>
    <t>EW Signal</t>
  </si>
  <si>
    <t>Gann Angle</t>
  </si>
  <si>
    <t>Above 1×1?</t>
  </si>
  <si>
    <t>Price/Time</t>
  </si>
  <si>
    <t>Gann Level</t>
  </si>
  <si>
    <t>Gann Signal</t>
  </si>
  <si>
    <t>RSI Proxy</t>
  </si>
  <si>
    <t>MACD Proxy</t>
  </si>
  <si>
    <t>Vol Confirm</t>
  </si>
  <si>
    <t>BB Score</t>
  </si>
  <si>
    <t>EW Score</t>
  </si>
  <si>
    <t>Gann Score</t>
  </si>
  <si>
    <t>Mom Score</t>
  </si>
  <si>
    <t>Combined Score</t>
  </si>
  <si>
    <t>Auto Signal</t>
  </si>
  <si>
    <t>TECHNICAL SUMMARY</t>
  </si>
  <si>
    <t>Hold Signals</t>
  </si>
  <si>
    <t>Strong Sell Signals</t>
  </si>
  <si>
    <t>Avg Combined Score</t>
  </si>
  <si>
    <t>Avg BB Score</t>
  </si>
  <si>
    <t>Avg EW Score</t>
  </si>
  <si>
    <t>Avg Gann Score</t>
  </si>
  <si>
    <t>P1 Actions</t>
  </si>
  <si>
    <t>Impulse Wave Count</t>
  </si>
  <si>
    <t>Squeeze Signals</t>
  </si>
  <si>
    <t>TECHNICAL vs FUNDAMENTAL SIGNAL AGREEMENT</t>
  </si>
  <si>
    <t>Tech Signal</t>
  </si>
  <si>
    <t>Tech Score</t>
  </si>
  <si>
    <t>Fund Signal</t>
  </si>
  <si>
    <t>Fund Score</t>
  </si>
  <si>
    <t>Agreement?</t>
  </si>
  <si>
    <t>Net Conviction</t>
  </si>
  <si>
    <t>INVESTOR LIFECYCLE — Phase Detection · Withdrawal Planning · Drawdown Management · Allocation Engine</t>
  </si>
  <si>
    <t>Complete the blue input cells below. The system auto-detects your lifecycle phase and weights allocations accordingly.</t>
  </si>
  <si>
    <t>INVESTOR PROFILE</t>
  </si>
  <si>
    <t>Current Age</t>
  </si>
  <si>
    <t>Your current age</t>
  </si>
  <si>
    <t>Retirement Age</t>
  </si>
  <si>
    <t>When you plan to stop working</t>
  </si>
  <si>
    <t>Life Expectancy</t>
  </si>
  <si>
    <t>Planning horizon (actuarial 90 is standard)</t>
  </si>
  <si>
    <t>Current Portfolio Value</t>
  </si>
  <si>
    <t>Annual Gross Income</t>
  </si>
  <si>
    <t>Annual Savings Rate</t>
  </si>
  <si>
    <t>Current Annual Expenses</t>
  </si>
  <si>
    <t>Retirement Annual Expenses</t>
  </si>
  <si>
    <t>Social Security (Annual est.)</t>
  </si>
  <si>
    <t>Pension Income (Annual)</t>
  </si>
  <si>
    <t>Other Retirement Income</t>
  </si>
  <si>
    <t>Risk Tolerance (1-10)</t>
  </si>
  <si>
    <t>1=very conservative, 10=very aggressive</t>
  </si>
  <si>
    <t>Tax Bracket</t>
  </si>
  <si>
    <t>INVESTMENT OBJECTIVES</t>
  </si>
  <si>
    <t>Objective</t>
  </si>
  <si>
    <t>Target Amount</t>
  </si>
  <si>
    <t>Target Date</t>
  </si>
  <si>
    <t>Monthly Need</t>
  </si>
  <si>
    <t>Retirement Income</t>
  </si>
  <si>
    <t>PRIMARY</t>
  </si>
  <si>
    <t>Emergency Fund (6 months)</t>
  </si>
  <si>
    <t>Education Funding</t>
  </si>
  <si>
    <t>Home Purchase / Upgrade</t>
  </si>
  <si>
    <t>Legacy / Estate Transfer</t>
  </si>
  <si>
    <t>Charitable Giving</t>
  </si>
  <si>
    <t>LIFECYCLE PHASE DETECTION</t>
  </si>
  <si>
    <t>Years to Retirement</t>
  </si>
  <si>
    <t>Retirement Duration</t>
  </si>
  <si>
    <t>Years in Retirement</t>
  </si>
  <si>
    <t>Income Replacement Ratio</t>
  </si>
  <si>
    <t>Required Withdrawal Rate</t>
  </si>
  <si>
    <t>DETECTED PHASE</t>
  </si>
  <si>
    <t>Phase Description</t>
  </si>
  <si>
    <t>LIFECYCLE TARGET ALLOCATION</t>
  </si>
  <si>
    <t>← Phase-adjusted targets auto-update based on detected phase</t>
  </si>
  <si>
    <t>Accumulation</t>
  </si>
  <si>
    <t>Preservation</t>
  </si>
  <si>
    <t>Early Distrib</t>
  </si>
  <si>
    <t>Mature Distrib</t>
  </si>
  <si>
    <t>YOUR TARGET</t>
  </si>
  <si>
    <t>US Large Cap Equity</t>
  </si>
  <si>
    <t>US Small/Mid Equity</t>
  </si>
  <si>
    <t>International Equity</t>
  </si>
  <si>
    <t>TIPS / Inflation</t>
  </si>
  <si>
    <t>Gold / Commodities</t>
  </si>
  <si>
    <t>Cash / Short-Term</t>
  </si>
  <si>
    <t>Deviation from Phase Target</t>
  </si>
  <si>
    <t>Total absolute deviation</t>
  </si>
  <si>
    <t>WITHDRAWAL &amp; DRAWDOWN PLANNING</t>
  </si>
  <si>
    <t>WITHDRAWAL PARAMETERS</t>
  </si>
  <si>
    <t>Initial Withdrawal Rate</t>
  </si>
  <si>
    <t>Standard 4% rule — adjust based on age/phase</t>
  </si>
  <si>
    <t>Annual Withdrawal Increase</t>
  </si>
  <si>
    <t>Inflation adjustment for withdrawals</t>
  </si>
  <si>
    <t>Guardrail — Max Withdrawal</t>
  </si>
  <si>
    <t>Never exceed this rate regardless of returns</t>
  </si>
  <si>
    <t>Guardrail — Min Withdrawal</t>
  </si>
  <si>
    <t>Floor to maintain lifestyle</t>
  </si>
  <si>
    <t>Reserve Bucket (Years)</t>
  </si>
  <si>
    <t>Cash/short-term reserve for down markets</t>
  </si>
  <si>
    <t>Max Annual Drawdown Tolerance</t>
  </si>
  <si>
    <t>Triggers defensive reallocation</t>
  </si>
  <si>
    <t>Recovery Time Target (Months)</t>
  </si>
  <si>
    <t>Max acceptable recovery period</t>
  </si>
  <si>
    <t>WITHDRAWAL PROJECTION (20-Year Retirement Runway)</t>
  </si>
  <si>
    <t>Age</t>
  </si>
  <si>
    <t>Start Balance</t>
  </si>
  <si>
    <t>Withdrawal</t>
  </si>
  <si>
    <t>WD Rate</t>
  </si>
  <si>
    <t>Net Return</t>
  </si>
  <si>
    <t>End Balance</t>
  </si>
  <si>
    <t>Cumulative WD</t>
  </si>
  <si>
    <t>Runway Left</t>
  </si>
  <si>
    <t>DRAWDOWN MANAGEMENT &amp; RECOVERY PROTOCOLS</t>
  </si>
  <si>
    <t>Market Decline</t>
  </si>
  <si>
    <t>Portfolio Impact</t>
  </si>
  <si>
    <t>Recovery Est</t>
  </si>
  <si>
    <t>Withdrawal Adjustment</t>
  </si>
  <si>
    <t>Allocation Shift</t>
  </si>
  <si>
    <t>Protocol</t>
  </si>
  <si>
    <t>Normal Correction</t>
  </si>
  <si>
    <t>Moderate Bear</t>
  </si>
  <si>
    <t>Severe Bear</t>
  </si>
  <si>
    <t>2008-Style Crisis</t>
  </si>
  <si>
    <t>Stagflation</t>
  </si>
  <si>
    <t>Rapid Rate Shock</t>
  </si>
  <si>
    <t>DRAWDOWN IMPACT BY LIFECYCLE PHASE</t>
  </si>
  <si>
    <t>Distribution</t>
  </si>
  <si>
    <t>Max Acceptable DD</t>
  </si>
  <si>
    <t>20%</t>
  </si>
  <si>
    <t>8%</t>
  </si>
  <si>
    <t>Recovery Horizon OK</t>
  </si>
  <si>
    <t>5+ years</t>
  </si>
  <si>
    <t>3-5 years</t>
  </si>
  <si>
    <t>1-2 years</t>
  </si>
  <si>
    <t>&lt;1 year</t>
  </si>
  <si>
    <t>Withdrawal Impact</t>
  </si>
  <si>
    <t>None</t>
  </si>
  <si>
    <t>Reduce savings</t>
  </si>
  <si>
    <t>Reduce 10%</t>
  </si>
  <si>
    <t>Reduce 20%+</t>
  </si>
  <si>
    <t>Rebalance Response</t>
  </si>
  <si>
    <t>Buy more</t>
  </si>
  <si>
    <t>Hold</t>
  </si>
  <si>
    <t>Shift to bonds</t>
  </si>
  <si>
    <t>Buffered ETF Role</t>
  </si>
  <si>
    <t>Minimal 0-5%</t>
  </si>
  <si>
    <t>Moderate 5-10%</t>
  </si>
  <si>
    <t>Elevated 10-20%</t>
  </si>
  <si>
    <t>Maximum 15-25%</t>
  </si>
  <si>
    <t>Managed Futures Role</t>
  </si>
  <si>
    <t>Growth 5-10%</t>
  </si>
  <si>
    <t>Diversify 8-12%</t>
  </si>
  <si>
    <t>Protect 8-12%</t>
  </si>
  <si>
    <t>Stabilize 5-10%</t>
  </si>
  <si>
    <t>Behavioral Risk</t>
  </si>
  <si>
    <t>Panic selling</t>
  </si>
  <si>
    <t>Chasing returns</t>
  </si>
  <si>
    <t>Timing market</t>
  </si>
  <si>
    <t>Spending fear</t>
  </si>
  <si>
    <t>Key Coaching Focus</t>
  </si>
  <si>
    <t>Stay invested</t>
  </si>
  <si>
    <t>Stay diversified</t>
  </si>
  <si>
    <t>Stay patient</t>
  </si>
  <si>
    <t>Stay disciplined</t>
  </si>
  <si>
    <t>PERFORMANCE METRICS — Current vs Benchmark vs Lifecycle-Optimal · Risk-Adjusted Comparison</t>
  </si>
  <si>
    <t>PORTFOLIO SCORECARD</t>
  </si>
  <si>
    <t>Your Portfolio</t>
  </si>
  <si>
    <t>S&amp;P 500 Benchmark</t>
  </si>
  <si>
    <t>60/40 Benchmark</t>
  </si>
  <si>
    <t>Lifecycle Target</t>
  </si>
  <si>
    <t>Grade</t>
  </si>
  <si>
    <t>Sharpe Ratio</t>
  </si>
  <si>
    <t>1</t>
  </si>
  <si>
    <t>0.60</t>
  </si>
  <si>
    <t>Max Drawdown</t>
  </si>
  <si>
    <t>-0.34</t>
  </si>
  <si>
    <t>-0.22</t>
  </si>
  <si>
    <t>Sortino Ratio</t>
  </si>
  <si>
    <t>Treynor Ratio</t>
  </si>
  <si>
    <t>Information Ratio</t>
  </si>
  <si>
    <t>0</t>
  </si>
  <si>
    <t>Return/Risk Ratio</t>
  </si>
  <si>
    <t>5-Year Growth of $100K</t>
  </si>
  <si>
    <t>10-Year Growth of $100K</t>
  </si>
  <si>
    <t>OVERALL GRADE</t>
  </si>
  <si>
    <t>MULTI-SYSTEM SIGNAL AGREEMENT</t>
  </si>
  <si>
    <t>System</t>
  </si>
  <si>
    <t>Current Signal</t>
  </si>
  <si>
    <t>Agrees with Majority?</t>
  </si>
  <si>
    <t>DWA / Relative Strength</t>
  </si>
  <si>
    <t>Multi-Factor Composite</t>
  </si>
  <si>
    <t>Bollinger Band</t>
  </si>
  <si>
    <t>Elliott Wave</t>
  </si>
  <si>
    <t>Combined Technical</t>
  </si>
  <si>
    <t>FSM Market Model</t>
  </si>
  <si>
    <t>Cash Triggers</t>
  </si>
  <si>
    <t>Buffered ETF Regime</t>
  </si>
  <si>
    <t>Lifecycle Phase</t>
  </si>
  <si>
    <t>CONSENSUS</t>
  </si>
  <si>
    <t>PHASE-ADJUSTED PERFORMANCE EXPECTATIONS</t>
  </si>
  <si>
    <t>YOUR PHASE</t>
  </si>
  <si>
    <t>Target Return</t>
  </si>
  <si>
    <t>8-12%</t>
  </si>
  <si>
    <t>6-10%</t>
  </si>
  <si>
    <t>4-7%</t>
  </si>
  <si>
    <t>Max Acceptable Vol</t>
  </si>
  <si>
    <t>20-25%</t>
  </si>
  <si>
    <t>15-20%</t>
  </si>
  <si>
    <t>10-15%</t>
  </si>
  <si>
    <t>Target Sharpe</t>
  </si>
  <si>
    <t>0.35-0.50</t>
  </si>
  <si>
    <t>0.30-0.45</t>
  </si>
  <si>
    <t>0.30-0.50</t>
  </si>
  <si>
    <t>0.25-0.40</t>
  </si>
  <si>
    <t>Max Drawdown Tolerance</t>
  </si>
  <si>
    <t>15-25%</t>
  </si>
  <si>
    <t>Withdrawal Rate</t>
  </si>
  <si>
    <t>0%</t>
  </si>
  <si>
    <t>0-2%</t>
  </si>
  <si>
    <t>Equity Target</t>
  </si>
  <si>
    <t>55-75%</t>
  </si>
  <si>
    <t>40-55%</t>
  </si>
  <si>
    <t>25-40%</t>
  </si>
  <si>
    <t>15-30%</t>
  </si>
  <si>
    <t>Bond Target</t>
  </si>
  <si>
    <t>30-45%</t>
  </si>
  <si>
    <t>Alt/Hedge Target</t>
  </si>
  <si>
    <t>20-30%</t>
  </si>
  <si>
    <t>Rebalance Frequency</t>
  </si>
  <si>
    <t>Tax Harvesting Priority</t>
  </si>
  <si>
    <t>Primary Risk</t>
  </si>
  <si>
    <t>Sequence of saving</t>
  </si>
  <si>
    <t>Concentration</t>
  </si>
  <si>
    <t>Sequence of returns</t>
  </si>
  <si>
    <t>Longevity</t>
  </si>
  <si>
    <t>Behavioral Focus</t>
  </si>
  <si>
    <t>Don't time market</t>
  </si>
  <si>
    <t>Don't overspend</t>
  </si>
  <si>
    <t>AUTOMATED RECOMMENDATIONS</t>
  </si>
  <si>
    <t>Rebalance Needed?</t>
  </si>
  <si>
    <t>Lifecycle Allocation Match?</t>
  </si>
  <si>
    <t>Technical vs Fundamental Aligned?</t>
  </si>
  <si>
    <t>Withdrawal Rate Sustainable?</t>
  </si>
  <si>
    <t>Cash Trigger Status</t>
  </si>
  <si>
    <t>Buffered ETF Recommendation</t>
  </si>
  <si>
    <t>Market Regime</t>
  </si>
  <si>
    <t>Next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</si>
</sst>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"/>
    <numFmt numFmtId="165" formatCode="0.0%"/>
    <numFmt numFmtId="166" formatCode="\$#,##0.00"/>
    <numFmt numFmtId="167" formatCode="0.0"/>
    <numFmt numFmtId="168" formatCode="\+0.0%;\-0.0%"/>
    <numFmt numFmtId="169" formatCode="0.000"/>
    <numFmt numFmtId="170" formatCode="0\°"/>
    <numFmt numFmtId="171" formatCode="0.00\°"/>
    <numFmt numFmtId="172" formatCode="0.0\°"/>
    <numFmt numFmtId="173" formatCode="yyyy\-mm\-dd"/>
  </numFmts>
  <fonts count="17" x14ac:knownFonts="1">
    <font>
      <sz val="11"/>
      <color theme="1"/>
      <name val="Calibri"/>
      <family val="2"/>
      <charset val="1"/>
    </font>
    <font>
      <b/>
      <sz val="14"/>
      <color rgb="FF00D4AA"/>
      <name val="Arial"/>
      <charset val="1"/>
    </font>
    <font>
      <b/>
      <sz val="10"/>
      <color rgb="FFE2E8F0"/>
      <name val="Arial"/>
      <charset val="1"/>
    </font>
    <font>
      <sz val="10"/>
      <color rgb="FF0000FF"/>
      <name val="Arial"/>
      <charset val="1"/>
    </font>
    <font>
      <sz val="10"/>
      <color rgb="FFFF0000"/>
      <name val="Arial"/>
      <charset val="1"/>
    </font>
    <font>
      <b/>
      <sz val="10"/>
      <color rgb="FFFF6600"/>
      <name val="Arial"/>
      <charset val="1"/>
    </font>
    <font>
      <sz val="10"/>
      <color rgb="FF000000"/>
      <name val="Arial"/>
      <charset val="1"/>
    </font>
    <font>
      <b/>
      <sz val="12"/>
      <color rgb="FF00D4AA"/>
      <name val="Arial"/>
      <charset val="1"/>
    </font>
    <font>
      <sz val="10"/>
      <color rgb="FFE2E8F0"/>
      <name val="Arial"/>
      <charset val="1"/>
    </font>
    <font>
      <sz val="9"/>
      <color rgb="FF8899AA"/>
      <name val="Arial"/>
      <charset val="1"/>
    </font>
    <font>
      <sz val="10"/>
      <color rgb="FF8899AA"/>
      <name val="Arial"/>
      <charset val="1"/>
    </font>
    <font>
      <b/>
      <sz val="11"/>
      <color rgb="FFE2E8F0"/>
      <name val="Arial"/>
      <charset val="1"/>
    </font>
    <font>
      <b/>
      <sz val="11"/>
      <color rgb="FF00D4AA"/>
      <name val="Arial"/>
      <charset val="1"/>
    </font>
    <font>
      <sz val="10"/>
      <color rgb="FF008000"/>
      <name val="Arial"/>
      <charset val="1"/>
    </font>
    <font>
      <b/>
      <sz val="16"/>
      <color rgb="FF00D4AA"/>
      <name val="Arial"/>
      <charset val="1"/>
    </font>
    <font>
      <b/>
      <sz val="12"/>
      <color rgb="FFEF4444"/>
      <name val="Arial"/>
      <charset val="1"/>
    </font>
    <font>
      <b/>
      <sz val="12"/>
      <color rgb="FF22C55E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A0E17"/>
        <bgColor rgb="FF0A1628"/>
      </patternFill>
    </fill>
    <fill>
      <patternFill patternType="solid">
        <fgColor rgb="FF111827"/>
        <bgColor rgb="FF0A1628"/>
      </patternFill>
    </fill>
    <fill>
      <patternFill patternType="solid">
        <fgColor rgb="FFFFFFF0"/>
        <bgColor rgb="FFFFF5E6"/>
      </patternFill>
    </fill>
    <fill>
      <patternFill patternType="solid">
        <fgColor rgb="FFFFF0F0"/>
        <bgColor rgb="FFFFF5E6"/>
      </patternFill>
    </fill>
    <fill>
      <patternFill patternType="solid">
        <fgColor rgb="FFFFF5E6"/>
        <bgColor rgb="FFFFF0F0"/>
      </patternFill>
    </fill>
    <fill>
      <patternFill patternType="solid">
        <fgColor rgb="FFF0F0FF"/>
        <bgColor rgb="FFFFF0F0"/>
      </patternFill>
    </fill>
    <fill>
      <patternFill patternType="solid">
        <fgColor rgb="FF1A2235"/>
        <bgColor rgb="FF1E2A3A"/>
      </patternFill>
    </fill>
    <fill>
      <patternFill patternType="solid">
        <fgColor rgb="FF0A1628"/>
        <bgColor rgb="FF111827"/>
      </patternFill>
    </fill>
    <fill>
      <patternFill patternType="solid">
        <fgColor rgb="FF0A2818"/>
        <bgColor rgb="FF1A2235"/>
      </patternFill>
    </fill>
    <fill>
      <patternFill patternType="solid">
        <fgColor rgb="FF28280A"/>
        <bgColor rgb="FF1A2235"/>
      </patternFill>
    </fill>
    <fill>
      <patternFill patternType="solid">
        <fgColor rgb="FF280A1E"/>
        <bgColor rgb="FF111827"/>
      </patternFill>
    </fill>
  </fills>
  <borders count="2">
    <border>
      <left/>
      <right/>
      <top/>
      <bottom/>
      <diagonal/>
    </border>
    <border>
      <left style="thin">
        <color rgb="FF1E2A3A"/>
      </left>
      <right style="thin">
        <color rgb="FF1E2A3A"/>
      </right>
      <top style="thin">
        <color rgb="FF1E2A3A"/>
      </top>
      <bottom style="thin">
        <color rgb="FF1E2A3A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" fillId="2" borderId="0" xfId="0" applyFont="1" applyFill="1"/>
    <xf numFmtId="0" fontId="1" fillId="2" borderId="0" xfId="0" applyFont="1" applyFill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0" xfId="0" applyFont="1" applyFill="1"/>
    <xf numFmtId="0" fontId="8" fillId="3" borderId="1" xfId="0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0" fontId="4" fillId="7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7" fillId="0" borderId="0" xfId="0" applyFont="1"/>
    <xf numFmtId="0" fontId="13" fillId="4" borderId="1" xfId="0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167" fontId="12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7" fontId="13" fillId="3" borderId="1" xfId="0" applyNumberFormat="1" applyFont="1" applyFill="1" applyBorder="1" applyAlignment="1">
      <alignment horizontal="center" vertical="center"/>
    </xf>
    <xf numFmtId="9" fontId="1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167" fontId="3" fillId="4" borderId="1" xfId="0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170" fontId="3" fillId="4" borderId="1" xfId="0" applyNumberFormat="1" applyFont="1" applyFill="1" applyBorder="1" applyAlignment="1">
      <alignment horizontal="center" vertical="center"/>
    </xf>
    <xf numFmtId="171" fontId="3" fillId="4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" vertical="center"/>
    </xf>
    <xf numFmtId="172" fontId="6" fillId="3" borderId="1" xfId="0" applyNumberFormat="1" applyFont="1" applyFill="1" applyBorder="1" applyAlignment="1">
      <alignment horizontal="center" vertical="center"/>
    </xf>
    <xf numFmtId="173" fontId="6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165" fontId="8" fillId="3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C0C0C0"/>
      <rgbColor rgb="FF808080"/>
      <rgbColor rgb="FF9999FF"/>
      <rgbColor rgb="FFEF4444"/>
      <rgbColor rgb="FFFFF5E6"/>
      <rgbColor rgb="FFE2E8F0"/>
      <rgbColor rgb="FF280A1E"/>
      <rgbColor rgb="FFF97316"/>
      <rgbColor rgb="FF0066CC"/>
      <rgbColor rgb="FFCCCCFF"/>
      <rgbColor rgb="FF111827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0F0FF"/>
      <rgbColor rgb="FFCCFFCC"/>
      <rgbColor rgb="FFFFF0F0"/>
      <rgbColor rgb="FF99CCFF"/>
      <rgbColor rgb="FFFF99CC"/>
      <rgbColor rgb="FFCC99FF"/>
      <rgbColor rgb="FFFFCC99"/>
      <rgbColor rgb="FF3B82F6"/>
      <rgbColor rgb="FF00D4AA"/>
      <rgbColor rgb="FF99CC00"/>
      <rgbColor rgb="FFFFCC00"/>
      <rgbColor rgb="FFF59E0B"/>
      <rgbColor rgb="FFFF6600"/>
      <rgbColor rgb="FFA855F7"/>
      <rgbColor rgb="FF8899AA"/>
      <rgbColor rgb="FF1A2235"/>
      <rgbColor rgb="FF22C55E"/>
      <rgbColor rgb="FF0A2818"/>
      <rgbColor rgb="FF28280A"/>
      <rgbColor rgb="FF993300"/>
      <rgbColor rgb="FF993366"/>
      <rgbColor rgb="FF0A0E17"/>
      <rgbColor rgb="FF1E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4AA"/>
  </sheetPr>
  <dimension ref="A1:AG143"/>
  <sheetViews>
    <sheetView tabSelected="1" topLeftCell="A56"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5" customWidth="1"/>
    <col min="4" max="4" width="10" customWidth="1"/>
    <col min="5" max="9" width="9" customWidth="1"/>
    <col min="10" max="16" width="8" customWidth="1"/>
    <col min="17" max="18" width="9" customWidth="1"/>
    <col min="19" max="19" width="8" customWidth="1"/>
    <col min="20" max="21" width="10" customWidth="1"/>
    <col min="22" max="26" width="8" customWidth="1"/>
    <col min="27" max="27" width="10" customWidth="1"/>
    <col min="28" max="28" width="12" customWidth="1"/>
    <col min="29" max="29" width="10" customWidth="1"/>
    <col min="30" max="32" width="8" customWidth="1"/>
    <col min="33" max="33" width="10" customWidth="1"/>
  </cols>
  <sheetData>
    <row r="1" spans="1:32" ht="17.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15" customHeight="1" x14ac:dyDescent="0.3">
      <c r="A2" s="12" t="s">
        <v>1</v>
      </c>
      <c r="B2" s="11"/>
      <c r="C2" s="13" t="s">
        <v>2</v>
      </c>
      <c r="D2" s="11"/>
      <c r="E2" s="14" t="s">
        <v>3</v>
      </c>
      <c r="F2" s="11"/>
      <c r="G2" s="15" t="s">
        <v>4</v>
      </c>
      <c r="H2" s="11"/>
      <c r="I2" s="16" t="s">
        <v>5</v>
      </c>
      <c r="J2" s="11"/>
      <c r="K2" s="17" t="s">
        <v>6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15" customHeight="1" x14ac:dyDescent="0.3">
      <c r="A4" s="18" t="s">
        <v>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ht="15" customHeight="1" x14ac:dyDescent="0.3">
      <c r="A5" s="19" t="s">
        <v>8</v>
      </c>
      <c r="B5" s="20">
        <f ca="1">IFERROR(ycps("^TNX","price")/100,0.045)</f>
        <v>4.4999999999999998E-2</v>
      </c>
      <c r="C5" s="21" t="s">
        <v>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15" customHeight="1" x14ac:dyDescent="0.3">
      <c r="A6" s="19" t="s">
        <v>10</v>
      </c>
      <c r="B6" s="20">
        <f ca="1">IFERROR(ycps("SPY","one_year_return"),0.1)</f>
        <v>0.1</v>
      </c>
      <c r="C6" s="21" t="s">
        <v>11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15" customHeight="1" x14ac:dyDescent="0.3">
      <c r="A7" s="19" t="s">
        <v>12</v>
      </c>
      <c r="B7" s="20">
        <f ca="1">IFERROR(ycps("SPY","one_year_volatility"),0.16)</f>
        <v>0.16</v>
      </c>
      <c r="C7" s="21" t="s">
        <v>13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15" customHeight="1" x14ac:dyDescent="0.3">
      <c r="A8" s="19" t="s">
        <v>14</v>
      </c>
      <c r="B8" s="22">
        <v>100000</v>
      </c>
      <c r="C8" s="21" t="s">
        <v>15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15" customHeight="1" x14ac:dyDescent="0.3">
      <c r="A9" s="19" t="s">
        <v>16</v>
      </c>
      <c r="B9" s="23">
        <v>0.05</v>
      </c>
      <c r="C9" s="21" t="s">
        <v>17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3">
      <c r="A10" s="19" t="s">
        <v>18</v>
      </c>
      <c r="B10" s="23">
        <v>0.3</v>
      </c>
      <c r="C10" s="21" t="s">
        <v>19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5" customHeight="1" x14ac:dyDescent="0.3">
      <c r="A11" s="19" t="s">
        <v>20</v>
      </c>
      <c r="B11" s="23">
        <v>0.02</v>
      </c>
      <c r="C11" s="21" t="s">
        <v>21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15" customHeight="1" x14ac:dyDescent="0.3">
      <c r="A12" s="19" t="s">
        <v>22</v>
      </c>
      <c r="B12" s="23">
        <v>0.7</v>
      </c>
      <c r="C12" s="21" t="s">
        <v>23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15" customHeight="1" x14ac:dyDescent="0.3">
      <c r="A13" s="19" t="s">
        <v>24</v>
      </c>
      <c r="B13" s="23">
        <v>0.1</v>
      </c>
      <c r="C13" s="21" t="s">
        <v>25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15" customHeight="1" x14ac:dyDescent="0.3">
      <c r="A14" s="19" t="s">
        <v>26</v>
      </c>
      <c r="B14" s="23">
        <v>0.25</v>
      </c>
      <c r="C14" s="21" t="s">
        <v>27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1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1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15" customHeight="1" x14ac:dyDescent="0.3">
      <c r="A17" s="18" t="s">
        <v>28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15" customHeight="1" x14ac:dyDescent="0.3">
      <c r="A18" s="19" t="s">
        <v>29</v>
      </c>
      <c r="B18" s="24" t="str">
        <f ca="1">IFERROR(ycps("SPY","price"),"")</f>
        <v/>
      </c>
      <c r="C18" s="21" t="s">
        <v>30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15" customHeight="1" x14ac:dyDescent="0.3">
      <c r="A19" s="19" t="s">
        <v>31</v>
      </c>
      <c r="B19" s="25" t="str">
        <f ca="1">IFERROR(ycps("SPY","one_year_return"),"")</f>
        <v/>
      </c>
      <c r="C19" s="21" t="s">
        <v>32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15" customHeight="1" x14ac:dyDescent="0.3">
      <c r="A20" s="19" t="s">
        <v>33</v>
      </c>
      <c r="B20" s="25" t="str">
        <f ca="1">IFERROR(ycps("QQQ","one_year_return"),"")</f>
        <v/>
      </c>
      <c r="C20" s="21" t="s">
        <v>34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" customHeight="1" x14ac:dyDescent="0.3">
      <c r="A21" s="19" t="s">
        <v>35</v>
      </c>
      <c r="B21" s="26">
        <f ca="1">IFERROR(ycps("^VIX","price"),18)</f>
        <v>18</v>
      </c>
      <c r="C21" s="21" t="s">
        <v>36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" customHeight="1" x14ac:dyDescent="0.3">
      <c r="A22" s="19" t="s">
        <v>37</v>
      </c>
      <c r="B22" s="25">
        <f ca="1">IFERROR(ycps("^TNX","price")/100,0.045)</f>
        <v>4.4999999999999998E-2</v>
      </c>
      <c r="C22" s="21" t="s">
        <v>38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" customHeight="1" x14ac:dyDescent="0.3">
      <c r="A23" s="19" t="s">
        <v>39</v>
      </c>
      <c r="B23" s="25">
        <f ca="1">IFERROR(ycps("^IRX","price")/100,0.04)</f>
        <v>0.04</v>
      </c>
      <c r="C23" s="21" t="s">
        <v>40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" customHeight="1" x14ac:dyDescent="0.3">
      <c r="A24" s="19" t="s">
        <v>41</v>
      </c>
      <c r="B24" s="27">
        <f ca="1">B22-B23</f>
        <v>4.9999999999999975E-3</v>
      </c>
      <c r="C24" s="21" t="s">
        <v>42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" customHeight="1" x14ac:dyDescent="0.3">
      <c r="A25" s="19" t="s">
        <v>43</v>
      </c>
      <c r="B25" s="24" t="str">
        <f ca="1">IFERROR(ycps("UUP","price"),"")</f>
        <v/>
      </c>
      <c r="C25" s="21" t="s">
        <v>44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" customHeight="1" x14ac:dyDescent="0.3">
      <c r="A26" s="19" t="s">
        <v>45</v>
      </c>
      <c r="B26" s="24" t="str">
        <f ca="1">IFERROR(ycps("GLD","price"),"")</f>
        <v/>
      </c>
      <c r="C26" s="21" t="s">
        <v>46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" customHeight="1" x14ac:dyDescent="0.3">
      <c r="A27" s="19" t="s">
        <v>47</v>
      </c>
      <c r="B27" s="25" t="str">
        <f ca="1">IFERROR(ycps("HYG","dividend_yield")-ycps("AGG","dividend_yield"),"")</f>
        <v/>
      </c>
      <c r="C27" s="21" t="s">
        <v>48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" customHeight="1" x14ac:dyDescent="0.3">
      <c r="A28" s="19" t="s">
        <v>49</v>
      </c>
      <c r="B28" s="26">
        <f ca="1">IFERROR(50+ycps("SPY","one_month_return")*300,50)</f>
        <v>50</v>
      </c>
      <c r="C28" s="21" t="s">
        <v>50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" customHeight="1" x14ac:dyDescent="0.3">
      <c r="A29" s="19" t="s">
        <v>51</v>
      </c>
      <c r="B29" s="26">
        <f ca="1">IFERROR(100-B28,50)</f>
        <v>50</v>
      </c>
      <c r="C29" s="21" t="s">
        <v>52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" customHeight="1" x14ac:dyDescent="0.3">
      <c r="A32" s="18" t="s">
        <v>53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" customHeight="1" x14ac:dyDescent="0.3">
      <c r="A33" s="19" t="s">
        <v>54</v>
      </c>
      <c r="B33" s="23">
        <v>0.7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" customHeight="1" x14ac:dyDescent="0.3">
      <c r="A34" s="19" t="s">
        <v>55</v>
      </c>
      <c r="B34" s="23">
        <v>0.5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" customHeight="1" x14ac:dyDescent="0.3">
      <c r="A35" s="19" t="s">
        <v>56</v>
      </c>
      <c r="B35" s="23">
        <v>0.3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" customHeight="1" x14ac:dyDescent="0.3">
      <c r="A36" s="19" t="s">
        <v>57</v>
      </c>
      <c r="B36" s="23">
        <v>0.3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" customHeight="1" x14ac:dyDescent="0.3">
      <c r="A38" s="18" t="s">
        <v>58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" customHeight="1" x14ac:dyDescent="0.3">
      <c r="A39" s="19" t="s">
        <v>59</v>
      </c>
      <c r="B39" s="23">
        <v>0.4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" customHeight="1" x14ac:dyDescent="0.3">
      <c r="A40" s="19" t="s">
        <v>60</v>
      </c>
      <c r="B40" s="23">
        <v>0.25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" customHeight="1" x14ac:dyDescent="0.3">
      <c r="A41" s="19" t="s">
        <v>61</v>
      </c>
      <c r="B41" s="28">
        <v>45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" customHeight="1" x14ac:dyDescent="0.3">
      <c r="A42" s="19" t="s">
        <v>62</v>
      </c>
      <c r="B42" s="28">
        <v>40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" customHeight="1" x14ac:dyDescent="0.3">
      <c r="A44" s="18" t="s">
        <v>63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" customHeight="1" x14ac:dyDescent="0.3">
      <c r="A45" s="19" t="s">
        <v>64</v>
      </c>
      <c r="B45" s="29">
        <v>0.3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" customHeight="1" x14ac:dyDescent="0.3">
      <c r="A46" s="19" t="s">
        <v>65</v>
      </c>
      <c r="B46" s="29">
        <v>0.25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" customHeight="1" x14ac:dyDescent="0.3">
      <c r="A47" s="19" t="s">
        <v>66</v>
      </c>
      <c r="B47" s="29">
        <v>0.25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" customHeight="1" x14ac:dyDescent="0.3">
      <c r="A48" s="19" t="s">
        <v>67</v>
      </c>
      <c r="B48" s="29">
        <v>0.2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3" ht="15" customHeight="1" x14ac:dyDescent="0.3">
      <c r="A49" s="19" t="s">
        <v>68</v>
      </c>
      <c r="B49" s="30">
        <f>SUM(B45:B48)</f>
        <v>1</v>
      </c>
      <c r="C49" s="21" t="s">
        <v>69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3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3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3" ht="15" customHeight="1" x14ac:dyDescent="0.3">
      <c r="A52" s="18" t="s">
        <v>70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3" ht="15" customHeight="1" x14ac:dyDescent="0.3">
      <c r="A53" s="8" t="s">
        <v>71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3" ht="15" customHeight="1" x14ac:dyDescent="0.3">
      <c r="A54" s="32" t="s">
        <v>72</v>
      </c>
      <c r="B54" s="32" t="s">
        <v>73</v>
      </c>
      <c r="C54" s="32" t="s">
        <v>74</v>
      </c>
      <c r="D54" s="32" t="s">
        <v>75</v>
      </c>
      <c r="E54" s="32" t="s">
        <v>76</v>
      </c>
      <c r="F54" s="32" t="s">
        <v>77</v>
      </c>
      <c r="G54" s="32" t="s">
        <v>78</v>
      </c>
      <c r="H54" s="32" t="s">
        <v>79</v>
      </c>
      <c r="I54" s="32" t="s">
        <v>80</v>
      </c>
      <c r="J54" s="32" t="s">
        <v>81</v>
      </c>
      <c r="K54" s="32" t="s">
        <v>82</v>
      </c>
      <c r="L54" s="32" t="s">
        <v>83</v>
      </c>
      <c r="M54" s="32" t="s">
        <v>84</v>
      </c>
      <c r="N54" s="32" t="s">
        <v>85</v>
      </c>
      <c r="O54" s="32" t="s">
        <v>86</v>
      </c>
      <c r="P54" s="32" t="s">
        <v>87</v>
      </c>
      <c r="Q54" s="32" t="s">
        <v>88</v>
      </c>
      <c r="R54" s="32" t="s">
        <v>89</v>
      </c>
      <c r="S54" s="32" t="s">
        <v>90</v>
      </c>
      <c r="T54" s="32" t="s">
        <v>91</v>
      </c>
      <c r="U54" s="32" t="s">
        <v>92</v>
      </c>
      <c r="V54" s="32" t="s">
        <v>93</v>
      </c>
      <c r="W54" s="32" t="s">
        <v>94</v>
      </c>
      <c r="X54" s="32" t="s">
        <v>95</v>
      </c>
      <c r="Y54" s="32" t="s">
        <v>96</v>
      </c>
      <c r="Z54" s="32" t="s">
        <v>97</v>
      </c>
      <c r="AA54" s="32" t="s">
        <v>98</v>
      </c>
      <c r="AB54" s="32" t="s">
        <v>99</v>
      </c>
      <c r="AC54" s="32" t="s">
        <v>100</v>
      </c>
      <c r="AD54" s="32" t="s">
        <v>101</v>
      </c>
      <c r="AE54" s="32" t="s">
        <v>102</v>
      </c>
      <c r="AF54" s="32" t="s">
        <v>103</v>
      </c>
      <c r="AG54" s="32" t="s">
        <v>104</v>
      </c>
    </row>
    <row r="55" spans="1:33" ht="15" customHeight="1" x14ac:dyDescent="0.3">
      <c r="A55" s="33" t="s">
        <v>105</v>
      </c>
      <c r="B55" s="33" t="s">
        <v>105</v>
      </c>
      <c r="C55" s="33" t="s">
        <v>105</v>
      </c>
      <c r="D55" s="34" t="s">
        <v>106</v>
      </c>
      <c r="E55" s="34" t="s">
        <v>106</v>
      </c>
      <c r="F55" s="34" t="s">
        <v>106</v>
      </c>
      <c r="G55" s="34" t="s">
        <v>106</v>
      </c>
      <c r="H55" s="34" t="s">
        <v>106</v>
      </c>
      <c r="I55" s="34" t="s">
        <v>106</v>
      </c>
      <c r="J55" s="34" t="s">
        <v>106</v>
      </c>
      <c r="K55" s="34" t="s">
        <v>106</v>
      </c>
      <c r="L55" s="34" t="s">
        <v>106</v>
      </c>
      <c r="M55" s="34" t="s">
        <v>106</v>
      </c>
      <c r="N55" s="34" t="s">
        <v>106</v>
      </c>
      <c r="O55" s="34" t="s">
        <v>106</v>
      </c>
      <c r="P55" s="34" t="s">
        <v>106</v>
      </c>
      <c r="Q55" s="35" t="s">
        <v>107</v>
      </c>
      <c r="R55" s="35" t="s">
        <v>107</v>
      </c>
      <c r="S55" s="35" t="s">
        <v>107</v>
      </c>
      <c r="T55" s="35" t="s">
        <v>107</v>
      </c>
      <c r="U55" s="35" t="s">
        <v>107</v>
      </c>
      <c r="V55" s="36" t="s">
        <v>108</v>
      </c>
      <c r="W55" s="36" t="s">
        <v>108</v>
      </c>
      <c r="X55" s="36" t="s">
        <v>108</v>
      </c>
      <c r="Y55" s="36" t="s">
        <v>108</v>
      </c>
      <c r="Z55" s="36" t="s">
        <v>108</v>
      </c>
      <c r="AA55" s="36" t="s">
        <v>108</v>
      </c>
      <c r="AB55" s="36" t="s">
        <v>108</v>
      </c>
      <c r="AC55" s="36" t="s">
        <v>108</v>
      </c>
      <c r="AD55" s="33" t="s">
        <v>105</v>
      </c>
      <c r="AE55" s="33" t="s">
        <v>105</v>
      </c>
      <c r="AF55" s="36" t="s">
        <v>108</v>
      </c>
      <c r="AG55" s="36" t="s">
        <v>108</v>
      </c>
    </row>
    <row r="56" spans="1:33" ht="15" customHeight="1" x14ac:dyDescent="0.3">
      <c r="A56" s="13" t="s">
        <v>109</v>
      </c>
      <c r="B56" s="13" t="s">
        <v>110</v>
      </c>
      <c r="C56" s="13" t="s">
        <v>111</v>
      </c>
      <c r="D56" s="37" t="str">
        <f ca="1">IFERROR(ycps("SPY","price"),"")</f>
        <v/>
      </c>
      <c r="E56" s="20" t="str">
        <f ca="1">IFERROR(ycps("SPY","one_year_return"),"")</f>
        <v/>
      </c>
      <c r="F56" s="20" t="str">
        <f ca="1">IFERROR(ycps("SPY","three_year_annualized_return"),"")</f>
        <v/>
      </c>
      <c r="G56" s="20" t="str">
        <f ca="1">IFERROR(ycps("SPY","five_year_annualized_return"),"")</f>
        <v/>
      </c>
      <c r="H56" s="20" t="str">
        <f ca="1">IFERROR(ycps("SPY","one_year_volatility"),"")</f>
        <v/>
      </c>
      <c r="I56" s="20" t="str">
        <f ca="1">IFERROR(ycps("SPY","max_drawdown_3_year"),"")</f>
        <v/>
      </c>
      <c r="J56" s="38" t="str">
        <f ca="1">IFERROR(ycps("SPY","beta_5_year"),"")</f>
        <v/>
      </c>
      <c r="K56" s="39" t="str">
        <f ca="1">IFERROR(ycps("SPY","dividend_yield"),"")</f>
        <v/>
      </c>
      <c r="L56" s="40" t="str">
        <f ca="1">IFERROR(ycps("SPY","forward_pe_ratio"),"")</f>
        <v/>
      </c>
      <c r="M56" s="20" t="str">
        <f ca="1">IFERROR(ycps("SPY","one_month_return"),"")</f>
        <v/>
      </c>
      <c r="N56" s="20" t="str">
        <f ca="1">IFERROR(ycps("SPY","three_month_return"),"")</f>
        <v/>
      </c>
      <c r="O56" s="20" t="str">
        <f ca="1">IFERROR(ycps("SPY","six_month_return"),"")</f>
        <v/>
      </c>
      <c r="P56" s="20" t="str">
        <f ca="1">IFERROR(ycps("SPY","one_year_return"),"")</f>
        <v/>
      </c>
      <c r="Q56" s="41"/>
      <c r="R56" s="41"/>
      <c r="S56" s="15"/>
      <c r="T56" s="15"/>
      <c r="U56" s="15"/>
      <c r="V56" s="42" t="str">
        <f t="shared" ref="V56:V79" ca="1" si="0">IFERROR(IF(H56="","",IF(H56=0,0,(E56-$B$5)/H56)),"")</f>
        <v/>
      </c>
      <c r="W56" s="42" t="str">
        <f t="shared" ref="W56:W79" ca="1" si="1">IFERROR(IF(V56="","",V56*1.3),"")</f>
        <v/>
      </c>
      <c r="X56" s="42" t="str">
        <f t="shared" ref="X56:X79" ca="1" si="2">IFERROR(IF(H56="","",IF(H56=0,0,(E56-$B$6)/H56)),"")</f>
        <v/>
      </c>
      <c r="Y56" s="42" t="str">
        <f t="shared" ref="Y56:Y79" ca="1" si="3">IFERROR(IF(OR(J56="",J56=0),"",((E56-$B$5)/J56)),"")</f>
        <v/>
      </c>
      <c r="Z56" s="43">
        <f t="shared" ref="Z56:Z79" ca="1" si="4">IFERROR(IF(P56="",0,MIN(100,MAX(0,ROUND(50+P56*150+IF(E56&gt;0,15,0)+IF(J56&gt;0,5,-5),0)))),0)</f>
        <v>0</v>
      </c>
      <c r="AA56" s="43">
        <f t="shared" ref="AA56:AA79" ca="1" si="5">IFERROR(IF(M56="",0,MIN(100,MAX(0,ROUND(50+M56*200+IF(AND(M56&gt;0,N56&gt;0),10,-5)+IF(H56&lt;0.2,10,-5),0)))),0)</f>
        <v>0</v>
      </c>
      <c r="AB56" s="43">
        <f t="shared" ref="AB56:AB79" ca="1" si="6">IFERROR(IF(OR(E56="",H56=""),0,MIN(100,MAX(0,ROUND(30+IF(H56&gt;0,E56/H56,0)*40+IF(ABS(J56)&lt;0.5,15,0)+IF(E56&gt;0.08,10,0),0)))),0)</f>
        <v>0</v>
      </c>
      <c r="AC56" s="43">
        <f t="shared" ref="AC56:AC79" ca="1" si="7">IFERROR(ROUND(Z56*$B$45+AA56*$B$46+AB56*$B$47+IF(Q56&lt;&gt;"",Q56,MIN(100,MAX(0,ROUND(50+(M56*0.4+N56*0.3+O56*0.2+P56*0.1)*200,0))))*$B$48,0),0)</f>
        <v>0</v>
      </c>
      <c r="AD56" s="23">
        <v>0.08</v>
      </c>
      <c r="AE56" s="23">
        <v>0.09</v>
      </c>
      <c r="AF56" s="44">
        <f t="shared" ref="AF56:AF79" si="8">AE56-AD56</f>
        <v>9.999999999999995E-3</v>
      </c>
      <c r="AG56" s="17" t="str">
        <f t="shared" ref="AG56:AG79" ca="1" si="9">IF(ABS(AF56)&gt;$B$9,"REBALANCE",IF(AND(AC56&gt;=60,AF56&lt;0),"ADD",IF(AND(AC56&lt;40,AF56&gt;0),"TRIM","HOLD")))</f>
        <v>TRIM</v>
      </c>
    </row>
    <row r="57" spans="1:33" ht="15" customHeight="1" x14ac:dyDescent="0.3">
      <c r="A57" s="13" t="s">
        <v>112</v>
      </c>
      <c r="B57" s="13" t="s">
        <v>110</v>
      </c>
      <c r="C57" s="13" t="s">
        <v>111</v>
      </c>
      <c r="D57" s="37" t="str">
        <f ca="1">IFERROR(ycps("QQQ","price"),"")</f>
        <v/>
      </c>
      <c r="E57" s="20" t="str">
        <f ca="1">IFERROR(ycps("QQQ","one_year_return"),"")</f>
        <v/>
      </c>
      <c r="F57" s="20" t="str">
        <f ca="1">IFERROR(ycps("QQQ","three_year_annualized_return"),"")</f>
        <v/>
      </c>
      <c r="G57" s="20" t="str">
        <f ca="1">IFERROR(ycps("QQQ","five_year_annualized_return"),"")</f>
        <v/>
      </c>
      <c r="H57" s="20" t="str">
        <f ca="1">IFERROR(ycps("QQQ","one_year_volatility"),"")</f>
        <v/>
      </c>
      <c r="I57" s="20" t="str">
        <f ca="1">IFERROR(ycps("QQQ","max_drawdown_3_year"),"")</f>
        <v/>
      </c>
      <c r="J57" s="38" t="str">
        <f ca="1">IFERROR(ycps("QQQ","beta_5_year"),"")</f>
        <v/>
      </c>
      <c r="K57" s="39" t="str">
        <f ca="1">IFERROR(ycps("QQQ","dividend_yield"),"")</f>
        <v/>
      </c>
      <c r="L57" s="40" t="str">
        <f ca="1">IFERROR(ycps("QQQ","forward_pe_ratio"),"")</f>
        <v/>
      </c>
      <c r="M57" s="20" t="str">
        <f ca="1">IFERROR(ycps("QQQ","one_month_return"),"")</f>
        <v/>
      </c>
      <c r="N57" s="20" t="str">
        <f ca="1">IFERROR(ycps("QQQ","three_month_return"),"")</f>
        <v/>
      </c>
      <c r="O57" s="20" t="str">
        <f ca="1">IFERROR(ycps("QQQ","six_month_return"),"")</f>
        <v/>
      </c>
      <c r="P57" s="20" t="str">
        <f ca="1">IFERROR(ycps("QQQ","one_year_return"),"")</f>
        <v/>
      </c>
      <c r="Q57" s="41"/>
      <c r="R57" s="41"/>
      <c r="S57" s="15"/>
      <c r="T57" s="15"/>
      <c r="U57" s="15"/>
      <c r="V57" s="42" t="str">
        <f t="shared" ca="1" si="0"/>
        <v/>
      </c>
      <c r="W57" s="42" t="str">
        <f t="shared" ca="1" si="1"/>
        <v/>
      </c>
      <c r="X57" s="42" t="str">
        <f t="shared" ca="1" si="2"/>
        <v/>
      </c>
      <c r="Y57" s="42" t="str">
        <f t="shared" ca="1" si="3"/>
        <v/>
      </c>
      <c r="Z57" s="43">
        <f t="shared" ca="1" si="4"/>
        <v>0</v>
      </c>
      <c r="AA57" s="43">
        <f t="shared" ca="1" si="5"/>
        <v>0</v>
      </c>
      <c r="AB57" s="43">
        <f t="shared" ca="1" si="6"/>
        <v>0</v>
      </c>
      <c r="AC57" s="43">
        <f t="shared" ca="1" si="7"/>
        <v>0</v>
      </c>
      <c r="AD57" s="23">
        <v>7.0000000000000007E-2</v>
      </c>
      <c r="AE57" s="23">
        <v>6.5000000000000002E-2</v>
      </c>
      <c r="AF57" s="44">
        <f t="shared" si="8"/>
        <v>-5.0000000000000044E-3</v>
      </c>
      <c r="AG57" s="17" t="str">
        <f t="shared" ca="1" si="9"/>
        <v>HOLD</v>
      </c>
    </row>
    <row r="58" spans="1:33" ht="15" customHeight="1" x14ac:dyDescent="0.3">
      <c r="A58" s="13" t="s">
        <v>113</v>
      </c>
      <c r="B58" s="13" t="s">
        <v>110</v>
      </c>
      <c r="C58" s="13" t="s">
        <v>111</v>
      </c>
      <c r="D58" s="37" t="str">
        <f ca="1">IFERROR(ycps("IWM","price"),"")</f>
        <v/>
      </c>
      <c r="E58" s="20" t="str">
        <f ca="1">IFERROR(ycps("IWM","one_year_return"),"")</f>
        <v/>
      </c>
      <c r="F58" s="20" t="str">
        <f ca="1">IFERROR(ycps("IWM","three_year_annualized_return"),"")</f>
        <v/>
      </c>
      <c r="G58" s="20" t="str">
        <f ca="1">IFERROR(ycps("IWM","five_year_annualized_return"),"")</f>
        <v/>
      </c>
      <c r="H58" s="20" t="str">
        <f ca="1">IFERROR(ycps("IWM","one_year_volatility"),"")</f>
        <v/>
      </c>
      <c r="I58" s="20" t="str">
        <f ca="1">IFERROR(ycps("IWM","max_drawdown_3_year"),"")</f>
        <v/>
      </c>
      <c r="J58" s="38" t="str">
        <f ca="1">IFERROR(ycps("IWM","beta_5_year"),"")</f>
        <v/>
      </c>
      <c r="K58" s="39" t="str">
        <f ca="1">IFERROR(ycps("IWM","dividend_yield"),"")</f>
        <v/>
      </c>
      <c r="L58" s="40" t="str">
        <f ca="1">IFERROR(ycps("IWM","forward_pe_ratio"),"")</f>
        <v/>
      </c>
      <c r="M58" s="20" t="str">
        <f ca="1">IFERROR(ycps("IWM","one_month_return"),"")</f>
        <v/>
      </c>
      <c r="N58" s="20" t="str">
        <f ca="1">IFERROR(ycps("IWM","three_month_return"),"")</f>
        <v/>
      </c>
      <c r="O58" s="20" t="str">
        <f ca="1">IFERROR(ycps("IWM","six_month_return"),"")</f>
        <v/>
      </c>
      <c r="P58" s="20" t="str">
        <f ca="1">IFERROR(ycps("IWM","one_year_return"),"")</f>
        <v/>
      </c>
      <c r="Q58" s="41"/>
      <c r="R58" s="41"/>
      <c r="S58" s="15"/>
      <c r="T58" s="15"/>
      <c r="U58" s="15"/>
      <c r="V58" s="42" t="str">
        <f t="shared" ca="1" si="0"/>
        <v/>
      </c>
      <c r="W58" s="42" t="str">
        <f t="shared" ca="1" si="1"/>
        <v/>
      </c>
      <c r="X58" s="42" t="str">
        <f t="shared" ca="1" si="2"/>
        <v/>
      </c>
      <c r="Y58" s="42" t="str">
        <f t="shared" ca="1" si="3"/>
        <v/>
      </c>
      <c r="Z58" s="43">
        <f t="shared" ca="1" si="4"/>
        <v>0</v>
      </c>
      <c r="AA58" s="43">
        <f t="shared" ca="1" si="5"/>
        <v>0</v>
      </c>
      <c r="AB58" s="43">
        <f t="shared" ca="1" si="6"/>
        <v>0</v>
      </c>
      <c r="AC58" s="43">
        <f t="shared" ca="1" si="7"/>
        <v>0</v>
      </c>
      <c r="AD58" s="23">
        <v>0.04</v>
      </c>
      <c r="AE58" s="23">
        <v>0.04</v>
      </c>
      <c r="AF58" s="44">
        <f t="shared" si="8"/>
        <v>0</v>
      </c>
      <c r="AG58" s="17" t="str">
        <f t="shared" ca="1" si="9"/>
        <v>HOLD</v>
      </c>
    </row>
    <row r="59" spans="1:33" ht="15" customHeight="1" x14ac:dyDescent="0.3">
      <c r="A59" s="13" t="s">
        <v>114</v>
      </c>
      <c r="B59" s="13" t="s">
        <v>115</v>
      </c>
      <c r="C59" s="13" t="s">
        <v>111</v>
      </c>
      <c r="D59" s="37" t="str">
        <f ca="1">IFERROR(ycps("EFA","price"),"")</f>
        <v/>
      </c>
      <c r="E59" s="20" t="str">
        <f ca="1">IFERROR(ycps("EFA","one_year_return"),"")</f>
        <v/>
      </c>
      <c r="F59" s="20" t="str">
        <f ca="1">IFERROR(ycps("EFA","three_year_annualized_return"),"")</f>
        <v/>
      </c>
      <c r="G59" s="20" t="str">
        <f ca="1">IFERROR(ycps("EFA","five_year_annualized_return"),"")</f>
        <v/>
      </c>
      <c r="H59" s="20" t="str">
        <f ca="1">IFERROR(ycps("EFA","one_year_volatility"),"")</f>
        <v/>
      </c>
      <c r="I59" s="20" t="str">
        <f ca="1">IFERROR(ycps("EFA","max_drawdown_3_year"),"")</f>
        <v/>
      </c>
      <c r="J59" s="38" t="str">
        <f ca="1">IFERROR(ycps("EFA","beta_5_year"),"")</f>
        <v/>
      </c>
      <c r="K59" s="39" t="str">
        <f ca="1">IFERROR(ycps("EFA","dividend_yield"),"")</f>
        <v/>
      </c>
      <c r="L59" s="40" t="str">
        <f ca="1">IFERROR(ycps("EFA","forward_pe_ratio"),"")</f>
        <v/>
      </c>
      <c r="M59" s="20" t="str">
        <f ca="1">IFERROR(ycps("EFA","one_month_return"),"")</f>
        <v/>
      </c>
      <c r="N59" s="20" t="str">
        <f ca="1">IFERROR(ycps("EFA","three_month_return"),"")</f>
        <v/>
      </c>
      <c r="O59" s="20" t="str">
        <f ca="1">IFERROR(ycps("EFA","six_month_return"),"")</f>
        <v/>
      </c>
      <c r="P59" s="20" t="str">
        <f ca="1">IFERROR(ycps("EFA","one_year_return"),"")</f>
        <v/>
      </c>
      <c r="Q59" s="41"/>
      <c r="R59" s="41"/>
      <c r="S59" s="15"/>
      <c r="T59" s="15"/>
      <c r="U59" s="15"/>
      <c r="V59" s="42" t="str">
        <f t="shared" ca="1" si="0"/>
        <v/>
      </c>
      <c r="W59" s="42" t="str">
        <f t="shared" ca="1" si="1"/>
        <v/>
      </c>
      <c r="X59" s="42" t="str">
        <f t="shared" ca="1" si="2"/>
        <v/>
      </c>
      <c r="Y59" s="42" t="str">
        <f t="shared" ca="1" si="3"/>
        <v/>
      </c>
      <c r="Z59" s="43">
        <f t="shared" ca="1" si="4"/>
        <v>0</v>
      </c>
      <c r="AA59" s="43">
        <f t="shared" ca="1" si="5"/>
        <v>0</v>
      </c>
      <c r="AB59" s="43">
        <f t="shared" ca="1" si="6"/>
        <v>0</v>
      </c>
      <c r="AC59" s="43">
        <f t="shared" ca="1" si="7"/>
        <v>0</v>
      </c>
      <c r="AD59" s="23">
        <v>0.05</v>
      </c>
      <c r="AE59" s="23">
        <v>0.06</v>
      </c>
      <c r="AF59" s="44">
        <f t="shared" si="8"/>
        <v>9.999999999999995E-3</v>
      </c>
      <c r="AG59" s="17" t="str">
        <f t="shared" ca="1" si="9"/>
        <v>TRIM</v>
      </c>
    </row>
    <row r="60" spans="1:33" ht="15" customHeight="1" x14ac:dyDescent="0.3">
      <c r="A60" s="13" t="s">
        <v>116</v>
      </c>
      <c r="B60" s="13" t="s">
        <v>115</v>
      </c>
      <c r="C60" s="13" t="s">
        <v>111</v>
      </c>
      <c r="D60" s="37" t="str">
        <f ca="1">IFERROR(ycps("EEM","price"),"")</f>
        <v/>
      </c>
      <c r="E60" s="20" t="str">
        <f ca="1">IFERROR(ycps("EEM","one_year_return"),"")</f>
        <v/>
      </c>
      <c r="F60" s="20" t="str">
        <f ca="1">IFERROR(ycps("EEM","three_year_annualized_return"),"")</f>
        <v/>
      </c>
      <c r="G60" s="20" t="str">
        <f ca="1">IFERROR(ycps("EEM","five_year_annualized_return"),"")</f>
        <v/>
      </c>
      <c r="H60" s="20" t="str">
        <f ca="1">IFERROR(ycps("EEM","one_year_volatility"),"")</f>
        <v/>
      </c>
      <c r="I60" s="20" t="str">
        <f ca="1">IFERROR(ycps("EEM","max_drawdown_3_year"),"")</f>
        <v/>
      </c>
      <c r="J60" s="38" t="str">
        <f ca="1">IFERROR(ycps("EEM","beta_5_year"),"")</f>
        <v/>
      </c>
      <c r="K60" s="39" t="str">
        <f ca="1">IFERROR(ycps("EEM","dividend_yield"),"")</f>
        <v/>
      </c>
      <c r="L60" s="40" t="str">
        <f ca="1">IFERROR(ycps("EEM","forward_pe_ratio"),"")</f>
        <v/>
      </c>
      <c r="M60" s="20" t="str">
        <f ca="1">IFERROR(ycps("EEM","one_month_return"),"")</f>
        <v/>
      </c>
      <c r="N60" s="20" t="str">
        <f ca="1">IFERROR(ycps("EEM","three_month_return"),"")</f>
        <v/>
      </c>
      <c r="O60" s="20" t="str">
        <f ca="1">IFERROR(ycps("EEM","six_month_return"),"")</f>
        <v/>
      </c>
      <c r="P60" s="20" t="str">
        <f ca="1">IFERROR(ycps("EEM","one_year_return"),"")</f>
        <v/>
      </c>
      <c r="Q60" s="41"/>
      <c r="R60" s="41"/>
      <c r="S60" s="15"/>
      <c r="T60" s="15"/>
      <c r="U60" s="15"/>
      <c r="V60" s="42" t="str">
        <f t="shared" ca="1" si="0"/>
        <v/>
      </c>
      <c r="W60" s="42" t="str">
        <f t="shared" ca="1" si="1"/>
        <v/>
      </c>
      <c r="X60" s="42" t="str">
        <f t="shared" ca="1" si="2"/>
        <v/>
      </c>
      <c r="Y60" s="42" t="str">
        <f t="shared" ca="1" si="3"/>
        <v/>
      </c>
      <c r="Z60" s="43">
        <f t="shared" ca="1" si="4"/>
        <v>0</v>
      </c>
      <c r="AA60" s="43">
        <f t="shared" ca="1" si="5"/>
        <v>0</v>
      </c>
      <c r="AB60" s="43">
        <f t="shared" ca="1" si="6"/>
        <v>0</v>
      </c>
      <c r="AC60" s="43">
        <f t="shared" ca="1" si="7"/>
        <v>0</v>
      </c>
      <c r="AD60" s="23">
        <v>0.03</v>
      </c>
      <c r="AE60" s="23">
        <v>2.5000000000000001E-2</v>
      </c>
      <c r="AF60" s="44">
        <f t="shared" si="8"/>
        <v>-4.9999999999999975E-3</v>
      </c>
      <c r="AG60" s="17" t="str">
        <f t="shared" ca="1" si="9"/>
        <v>HOLD</v>
      </c>
    </row>
    <row r="61" spans="1:33" ht="15" customHeight="1" x14ac:dyDescent="0.3">
      <c r="A61" s="13" t="s">
        <v>117</v>
      </c>
      <c r="B61" s="13" t="s">
        <v>118</v>
      </c>
      <c r="C61" s="13" t="s">
        <v>111</v>
      </c>
      <c r="D61" s="37" t="str">
        <f ca="1">IFERROR(ycps("AGG","price"),"")</f>
        <v/>
      </c>
      <c r="E61" s="20" t="str">
        <f ca="1">IFERROR(ycps("AGG","one_year_return"),"")</f>
        <v/>
      </c>
      <c r="F61" s="20" t="str">
        <f ca="1">IFERROR(ycps("AGG","three_year_annualized_return"),"")</f>
        <v/>
      </c>
      <c r="G61" s="20" t="str">
        <f ca="1">IFERROR(ycps("AGG","five_year_annualized_return"),"")</f>
        <v/>
      </c>
      <c r="H61" s="20" t="str">
        <f ca="1">IFERROR(ycps("AGG","one_year_volatility"),"")</f>
        <v/>
      </c>
      <c r="I61" s="20" t="str">
        <f ca="1">IFERROR(ycps("AGG","max_drawdown_3_year"),"")</f>
        <v/>
      </c>
      <c r="J61" s="38" t="str">
        <f ca="1">IFERROR(ycps("AGG","beta_5_year"),"")</f>
        <v/>
      </c>
      <c r="K61" s="39" t="str">
        <f ca="1">IFERROR(ycps("AGG","dividend_yield"),"")</f>
        <v/>
      </c>
      <c r="L61" s="45" t="s">
        <v>119</v>
      </c>
      <c r="M61" s="20" t="str">
        <f ca="1">IFERROR(ycps("AGG","one_month_return"),"")</f>
        <v/>
      </c>
      <c r="N61" s="20" t="str">
        <f ca="1">IFERROR(ycps("AGG","three_month_return"),"")</f>
        <v/>
      </c>
      <c r="O61" s="20" t="str">
        <f ca="1">IFERROR(ycps("AGG","six_month_return"),"")</f>
        <v/>
      </c>
      <c r="P61" s="20" t="str">
        <f ca="1">IFERROR(ycps("AGG","one_year_return"),"")</f>
        <v/>
      </c>
      <c r="Q61" s="41"/>
      <c r="R61" s="41"/>
      <c r="S61" s="15"/>
      <c r="T61" s="15"/>
      <c r="U61" s="15"/>
      <c r="V61" s="42" t="str">
        <f t="shared" ca="1" si="0"/>
        <v/>
      </c>
      <c r="W61" s="42" t="str">
        <f t="shared" ca="1" si="1"/>
        <v/>
      </c>
      <c r="X61" s="42" t="str">
        <f t="shared" ca="1" si="2"/>
        <v/>
      </c>
      <c r="Y61" s="42" t="str">
        <f t="shared" ca="1" si="3"/>
        <v/>
      </c>
      <c r="Z61" s="43">
        <f t="shared" ca="1" si="4"/>
        <v>0</v>
      </c>
      <c r="AA61" s="43">
        <f t="shared" ca="1" si="5"/>
        <v>0</v>
      </c>
      <c r="AB61" s="43">
        <f t="shared" ca="1" si="6"/>
        <v>0</v>
      </c>
      <c r="AC61" s="43">
        <f t="shared" ca="1" si="7"/>
        <v>0</v>
      </c>
      <c r="AD61" s="23">
        <v>0.1</v>
      </c>
      <c r="AE61" s="23">
        <v>0.1</v>
      </c>
      <c r="AF61" s="44">
        <f t="shared" si="8"/>
        <v>0</v>
      </c>
      <c r="AG61" s="17" t="str">
        <f t="shared" ca="1" si="9"/>
        <v>HOLD</v>
      </c>
    </row>
    <row r="62" spans="1:33" ht="15" customHeight="1" x14ac:dyDescent="0.3">
      <c r="A62" s="13" t="s">
        <v>120</v>
      </c>
      <c r="B62" s="13" t="s">
        <v>118</v>
      </c>
      <c r="C62" s="13" t="s">
        <v>111</v>
      </c>
      <c r="D62" s="37" t="str">
        <f ca="1">IFERROR(ycps("TLT","price"),"")</f>
        <v/>
      </c>
      <c r="E62" s="20" t="str">
        <f ca="1">IFERROR(ycps("TLT","one_year_return"),"")</f>
        <v/>
      </c>
      <c r="F62" s="20" t="str">
        <f ca="1">IFERROR(ycps("TLT","three_year_annualized_return"),"")</f>
        <v/>
      </c>
      <c r="G62" s="20" t="str">
        <f ca="1">IFERROR(ycps("TLT","five_year_annualized_return"),"")</f>
        <v/>
      </c>
      <c r="H62" s="20" t="str">
        <f ca="1">IFERROR(ycps("TLT","one_year_volatility"),"")</f>
        <v/>
      </c>
      <c r="I62" s="20" t="str">
        <f ca="1">IFERROR(ycps("TLT","max_drawdown_3_year"),"")</f>
        <v/>
      </c>
      <c r="J62" s="38" t="str">
        <f ca="1">IFERROR(ycps("TLT","beta_5_year"),"")</f>
        <v/>
      </c>
      <c r="K62" s="39" t="str">
        <f ca="1">IFERROR(ycps("TLT","dividend_yield"),"")</f>
        <v/>
      </c>
      <c r="L62" s="45" t="s">
        <v>119</v>
      </c>
      <c r="M62" s="20" t="str">
        <f ca="1">IFERROR(ycps("TLT","one_month_return"),"")</f>
        <v/>
      </c>
      <c r="N62" s="20" t="str">
        <f ca="1">IFERROR(ycps("TLT","three_month_return"),"")</f>
        <v/>
      </c>
      <c r="O62" s="20" t="str">
        <f ca="1">IFERROR(ycps("TLT","six_month_return"),"")</f>
        <v/>
      </c>
      <c r="P62" s="20" t="str">
        <f ca="1">IFERROR(ycps("TLT","one_year_return"),"")</f>
        <v/>
      </c>
      <c r="Q62" s="41"/>
      <c r="R62" s="41"/>
      <c r="S62" s="15"/>
      <c r="T62" s="15"/>
      <c r="U62" s="15"/>
      <c r="V62" s="42" t="str">
        <f t="shared" ca="1" si="0"/>
        <v/>
      </c>
      <c r="W62" s="42" t="str">
        <f t="shared" ca="1" si="1"/>
        <v/>
      </c>
      <c r="X62" s="42" t="str">
        <f t="shared" ca="1" si="2"/>
        <v/>
      </c>
      <c r="Y62" s="42" t="str">
        <f t="shared" ca="1" si="3"/>
        <v/>
      </c>
      <c r="Z62" s="43">
        <f t="shared" ca="1" si="4"/>
        <v>0</v>
      </c>
      <c r="AA62" s="43">
        <f t="shared" ca="1" si="5"/>
        <v>0</v>
      </c>
      <c r="AB62" s="43">
        <f t="shared" ca="1" si="6"/>
        <v>0</v>
      </c>
      <c r="AC62" s="43">
        <f t="shared" ca="1" si="7"/>
        <v>0</v>
      </c>
      <c r="AD62" s="23">
        <v>0.05</v>
      </c>
      <c r="AE62" s="23">
        <v>0.06</v>
      </c>
      <c r="AF62" s="44">
        <f t="shared" si="8"/>
        <v>9.999999999999995E-3</v>
      </c>
      <c r="AG62" s="17" t="str">
        <f t="shared" ca="1" si="9"/>
        <v>TRIM</v>
      </c>
    </row>
    <row r="63" spans="1:33" ht="15" customHeight="1" x14ac:dyDescent="0.3">
      <c r="A63" s="13" t="s">
        <v>121</v>
      </c>
      <c r="B63" s="13" t="s">
        <v>122</v>
      </c>
      <c r="C63" s="13" t="s">
        <v>111</v>
      </c>
      <c r="D63" s="37" t="str">
        <f ca="1">IFERROR(ycps("GLD","price"),"")</f>
        <v/>
      </c>
      <c r="E63" s="20" t="str">
        <f ca="1">IFERROR(ycps("GLD","one_year_return"),"")</f>
        <v/>
      </c>
      <c r="F63" s="20" t="str">
        <f ca="1">IFERROR(ycps("GLD","three_year_annualized_return"),"")</f>
        <v/>
      </c>
      <c r="G63" s="20" t="str">
        <f ca="1">IFERROR(ycps("GLD","five_year_annualized_return"),"")</f>
        <v/>
      </c>
      <c r="H63" s="20" t="str">
        <f ca="1">IFERROR(ycps("GLD","one_year_volatility"),"")</f>
        <v/>
      </c>
      <c r="I63" s="20" t="str">
        <f ca="1">IFERROR(ycps("GLD","max_drawdown_3_year"),"")</f>
        <v/>
      </c>
      <c r="J63" s="38" t="str">
        <f ca="1">IFERROR(ycps("GLD","beta_5_year"),"")</f>
        <v/>
      </c>
      <c r="K63" s="39" t="str">
        <f ca="1">IFERROR(ycps("GLD","dividend_yield"),"")</f>
        <v/>
      </c>
      <c r="L63" s="45" t="s">
        <v>119</v>
      </c>
      <c r="M63" s="20" t="str">
        <f ca="1">IFERROR(ycps("GLD","one_month_return"),"")</f>
        <v/>
      </c>
      <c r="N63" s="20" t="str">
        <f ca="1">IFERROR(ycps("GLD","three_month_return"),"")</f>
        <v/>
      </c>
      <c r="O63" s="20" t="str">
        <f ca="1">IFERROR(ycps("GLD","six_month_return"),"")</f>
        <v/>
      </c>
      <c r="P63" s="20" t="str">
        <f ca="1">IFERROR(ycps("GLD","one_year_return"),"")</f>
        <v/>
      </c>
      <c r="Q63" s="41"/>
      <c r="R63" s="41"/>
      <c r="S63" s="15"/>
      <c r="T63" s="15"/>
      <c r="U63" s="15"/>
      <c r="V63" s="42" t="str">
        <f t="shared" ca="1" si="0"/>
        <v/>
      </c>
      <c r="W63" s="42" t="str">
        <f t="shared" ca="1" si="1"/>
        <v/>
      </c>
      <c r="X63" s="42" t="str">
        <f t="shared" ca="1" si="2"/>
        <v/>
      </c>
      <c r="Y63" s="42" t="str">
        <f t="shared" ca="1" si="3"/>
        <v/>
      </c>
      <c r="Z63" s="43">
        <f t="shared" ca="1" si="4"/>
        <v>0</v>
      </c>
      <c r="AA63" s="43">
        <f t="shared" ca="1" si="5"/>
        <v>0</v>
      </c>
      <c r="AB63" s="43">
        <f t="shared" ca="1" si="6"/>
        <v>0</v>
      </c>
      <c r="AC63" s="43">
        <f t="shared" ca="1" si="7"/>
        <v>0</v>
      </c>
      <c r="AD63" s="23">
        <v>0.08</v>
      </c>
      <c r="AE63" s="23">
        <v>7.4999999999999997E-2</v>
      </c>
      <c r="AF63" s="44">
        <f t="shared" si="8"/>
        <v>-5.0000000000000044E-3</v>
      </c>
      <c r="AG63" s="17" t="str">
        <f t="shared" ca="1" si="9"/>
        <v>HOLD</v>
      </c>
    </row>
    <row r="64" spans="1:33" ht="15" customHeight="1" x14ac:dyDescent="0.3">
      <c r="A64" s="13" t="s">
        <v>123</v>
      </c>
      <c r="B64" s="13" t="s">
        <v>124</v>
      </c>
      <c r="C64" s="13" t="s">
        <v>111</v>
      </c>
      <c r="D64" s="37" t="str">
        <f ca="1">IFERROR(ycps("VNQ","price"),"")</f>
        <v/>
      </c>
      <c r="E64" s="20" t="str">
        <f ca="1">IFERROR(ycps("VNQ","one_year_return"),"")</f>
        <v/>
      </c>
      <c r="F64" s="20" t="str">
        <f ca="1">IFERROR(ycps("VNQ","three_year_annualized_return"),"")</f>
        <v/>
      </c>
      <c r="G64" s="20" t="str">
        <f ca="1">IFERROR(ycps("VNQ","five_year_annualized_return"),"")</f>
        <v/>
      </c>
      <c r="H64" s="20" t="str">
        <f ca="1">IFERROR(ycps("VNQ","one_year_volatility"),"")</f>
        <v/>
      </c>
      <c r="I64" s="20" t="str">
        <f ca="1">IFERROR(ycps("VNQ","max_drawdown_3_year"),"")</f>
        <v/>
      </c>
      <c r="J64" s="38" t="str">
        <f ca="1">IFERROR(ycps("VNQ","beta_5_year"),"")</f>
        <v/>
      </c>
      <c r="K64" s="39" t="str">
        <f ca="1">IFERROR(ycps("VNQ","dividend_yield"),"")</f>
        <v/>
      </c>
      <c r="L64" s="40" t="str">
        <f ca="1">IFERROR(ycps("VNQ","forward_pe_ratio"),"")</f>
        <v/>
      </c>
      <c r="M64" s="20" t="str">
        <f ca="1">IFERROR(ycps("VNQ","one_month_return"),"")</f>
        <v/>
      </c>
      <c r="N64" s="20" t="str">
        <f ca="1">IFERROR(ycps("VNQ","three_month_return"),"")</f>
        <v/>
      </c>
      <c r="O64" s="20" t="str">
        <f ca="1">IFERROR(ycps("VNQ","six_month_return"),"")</f>
        <v/>
      </c>
      <c r="P64" s="20" t="str">
        <f ca="1">IFERROR(ycps("VNQ","one_year_return"),"")</f>
        <v/>
      </c>
      <c r="Q64" s="41"/>
      <c r="R64" s="41"/>
      <c r="S64" s="15"/>
      <c r="T64" s="15"/>
      <c r="U64" s="15"/>
      <c r="V64" s="42" t="str">
        <f t="shared" ca="1" si="0"/>
        <v/>
      </c>
      <c r="W64" s="42" t="str">
        <f t="shared" ca="1" si="1"/>
        <v/>
      </c>
      <c r="X64" s="42" t="str">
        <f t="shared" ca="1" si="2"/>
        <v/>
      </c>
      <c r="Y64" s="42" t="str">
        <f t="shared" ca="1" si="3"/>
        <v/>
      </c>
      <c r="Z64" s="43">
        <f t="shared" ca="1" si="4"/>
        <v>0</v>
      </c>
      <c r="AA64" s="43">
        <f t="shared" ca="1" si="5"/>
        <v>0</v>
      </c>
      <c r="AB64" s="43">
        <f t="shared" ca="1" si="6"/>
        <v>0</v>
      </c>
      <c r="AC64" s="43">
        <f t="shared" ca="1" si="7"/>
        <v>0</v>
      </c>
      <c r="AD64" s="23">
        <v>0.05</v>
      </c>
      <c r="AE64" s="23">
        <v>0.05</v>
      </c>
      <c r="AF64" s="44">
        <f t="shared" si="8"/>
        <v>0</v>
      </c>
      <c r="AG64" s="17" t="str">
        <f t="shared" ca="1" si="9"/>
        <v>HOLD</v>
      </c>
    </row>
    <row r="65" spans="1:33" ht="15" customHeight="1" x14ac:dyDescent="0.3">
      <c r="A65" s="13" t="s">
        <v>125</v>
      </c>
      <c r="B65" s="13" t="s">
        <v>110</v>
      </c>
      <c r="C65" s="13" t="s">
        <v>111</v>
      </c>
      <c r="D65" s="37" t="str">
        <f ca="1">IFERROR(ycps("XLK","price"),"")</f>
        <v/>
      </c>
      <c r="E65" s="20" t="str">
        <f ca="1">IFERROR(ycps("XLK","one_year_return"),"")</f>
        <v/>
      </c>
      <c r="F65" s="20" t="str">
        <f ca="1">IFERROR(ycps("XLK","three_year_annualized_return"),"")</f>
        <v/>
      </c>
      <c r="G65" s="20" t="str">
        <f ca="1">IFERROR(ycps("XLK","five_year_annualized_return"),"")</f>
        <v/>
      </c>
      <c r="H65" s="20" t="str">
        <f ca="1">IFERROR(ycps("XLK","one_year_volatility"),"")</f>
        <v/>
      </c>
      <c r="I65" s="20" t="str">
        <f ca="1">IFERROR(ycps("XLK","max_drawdown_3_year"),"")</f>
        <v/>
      </c>
      <c r="J65" s="38" t="str">
        <f ca="1">IFERROR(ycps("XLK","beta_5_year"),"")</f>
        <v/>
      </c>
      <c r="K65" s="39" t="str">
        <f ca="1">IFERROR(ycps("XLK","dividend_yield"),"")</f>
        <v/>
      </c>
      <c r="L65" s="40" t="str">
        <f ca="1">IFERROR(ycps("XLK","forward_pe_ratio"),"")</f>
        <v/>
      </c>
      <c r="M65" s="20" t="str">
        <f ca="1">IFERROR(ycps("XLK","one_month_return"),"")</f>
        <v/>
      </c>
      <c r="N65" s="20" t="str">
        <f ca="1">IFERROR(ycps("XLK","three_month_return"),"")</f>
        <v/>
      </c>
      <c r="O65" s="20" t="str">
        <f ca="1">IFERROR(ycps("XLK","six_month_return"),"")</f>
        <v/>
      </c>
      <c r="P65" s="20" t="str">
        <f ca="1">IFERROR(ycps("XLK","one_year_return"),"")</f>
        <v/>
      </c>
      <c r="Q65" s="41"/>
      <c r="R65" s="41"/>
      <c r="S65" s="15"/>
      <c r="T65" s="15"/>
      <c r="U65" s="15"/>
      <c r="V65" s="42" t="str">
        <f t="shared" ca="1" si="0"/>
        <v/>
      </c>
      <c r="W65" s="42" t="str">
        <f t="shared" ca="1" si="1"/>
        <v/>
      </c>
      <c r="X65" s="42" t="str">
        <f t="shared" ca="1" si="2"/>
        <v/>
      </c>
      <c r="Y65" s="42" t="str">
        <f t="shared" ca="1" si="3"/>
        <v/>
      </c>
      <c r="Z65" s="43">
        <f t="shared" ca="1" si="4"/>
        <v>0</v>
      </c>
      <c r="AA65" s="43">
        <f t="shared" ca="1" si="5"/>
        <v>0</v>
      </c>
      <c r="AB65" s="43">
        <f t="shared" ca="1" si="6"/>
        <v>0</v>
      </c>
      <c r="AC65" s="43">
        <f t="shared" ca="1" si="7"/>
        <v>0</v>
      </c>
      <c r="AD65" s="23">
        <v>0.08</v>
      </c>
      <c r="AE65" s="23">
        <v>0.09</v>
      </c>
      <c r="AF65" s="44">
        <f t="shared" si="8"/>
        <v>9.999999999999995E-3</v>
      </c>
      <c r="AG65" s="17" t="str">
        <f t="shared" ca="1" si="9"/>
        <v>TRIM</v>
      </c>
    </row>
    <row r="66" spans="1:33" ht="15" customHeight="1" x14ac:dyDescent="0.3">
      <c r="A66" s="13" t="s">
        <v>126</v>
      </c>
      <c r="B66" s="13" t="s">
        <v>110</v>
      </c>
      <c r="C66" s="13" t="s">
        <v>111</v>
      </c>
      <c r="D66" s="37" t="str">
        <f ca="1">IFERROR(ycps("XLV","price"),"")</f>
        <v/>
      </c>
      <c r="E66" s="20" t="str">
        <f ca="1">IFERROR(ycps("XLV","one_year_return"),"")</f>
        <v/>
      </c>
      <c r="F66" s="20" t="str">
        <f ca="1">IFERROR(ycps("XLV","three_year_annualized_return"),"")</f>
        <v/>
      </c>
      <c r="G66" s="20" t="str">
        <f ca="1">IFERROR(ycps("XLV","five_year_annualized_return"),"")</f>
        <v/>
      </c>
      <c r="H66" s="20" t="str">
        <f ca="1">IFERROR(ycps("XLV","one_year_volatility"),"")</f>
        <v/>
      </c>
      <c r="I66" s="20" t="str">
        <f ca="1">IFERROR(ycps("XLV","max_drawdown_3_year"),"")</f>
        <v/>
      </c>
      <c r="J66" s="38" t="str">
        <f ca="1">IFERROR(ycps("XLV","beta_5_year"),"")</f>
        <v/>
      </c>
      <c r="K66" s="39" t="str">
        <f ca="1">IFERROR(ycps("XLV","dividend_yield"),"")</f>
        <v/>
      </c>
      <c r="L66" s="40" t="str">
        <f ca="1">IFERROR(ycps("XLV","forward_pe_ratio"),"")</f>
        <v/>
      </c>
      <c r="M66" s="20" t="str">
        <f ca="1">IFERROR(ycps("XLV","one_month_return"),"")</f>
        <v/>
      </c>
      <c r="N66" s="20" t="str">
        <f ca="1">IFERROR(ycps("XLV","three_month_return"),"")</f>
        <v/>
      </c>
      <c r="O66" s="20" t="str">
        <f ca="1">IFERROR(ycps("XLV","six_month_return"),"")</f>
        <v/>
      </c>
      <c r="P66" s="20" t="str">
        <f ca="1">IFERROR(ycps("XLV","one_year_return"),"")</f>
        <v/>
      </c>
      <c r="Q66" s="41"/>
      <c r="R66" s="41"/>
      <c r="S66" s="15"/>
      <c r="T66" s="15"/>
      <c r="U66" s="15"/>
      <c r="V66" s="42" t="str">
        <f t="shared" ca="1" si="0"/>
        <v/>
      </c>
      <c r="W66" s="42" t="str">
        <f t="shared" ca="1" si="1"/>
        <v/>
      </c>
      <c r="X66" s="42" t="str">
        <f t="shared" ca="1" si="2"/>
        <v/>
      </c>
      <c r="Y66" s="42" t="str">
        <f t="shared" ca="1" si="3"/>
        <v/>
      </c>
      <c r="Z66" s="43">
        <f t="shared" ca="1" si="4"/>
        <v>0</v>
      </c>
      <c r="AA66" s="43">
        <f t="shared" ca="1" si="5"/>
        <v>0</v>
      </c>
      <c r="AB66" s="43">
        <f t="shared" ca="1" si="6"/>
        <v>0</v>
      </c>
      <c r="AC66" s="43">
        <f t="shared" ca="1" si="7"/>
        <v>0</v>
      </c>
      <c r="AD66" s="23">
        <v>0.04</v>
      </c>
      <c r="AE66" s="23">
        <v>3.5000000000000003E-2</v>
      </c>
      <c r="AF66" s="44">
        <f t="shared" si="8"/>
        <v>-4.9999999999999975E-3</v>
      </c>
      <c r="AG66" s="17" t="str">
        <f t="shared" ca="1" si="9"/>
        <v>HOLD</v>
      </c>
    </row>
    <row r="67" spans="1:33" ht="15" customHeight="1" x14ac:dyDescent="0.3">
      <c r="A67" s="13" t="s">
        <v>127</v>
      </c>
      <c r="B67" s="13" t="s">
        <v>110</v>
      </c>
      <c r="C67" s="13" t="s">
        <v>111</v>
      </c>
      <c r="D67" s="37" t="str">
        <f ca="1">IFERROR(ycps("XLE","price"),"")</f>
        <v/>
      </c>
      <c r="E67" s="20" t="str">
        <f ca="1">IFERROR(ycps("XLE","one_year_return"),"")</f>
        <v/>
      </c>
      <c r="F67" s="20" t="str">
        <f ca="1">IFERROR(ycps("XLE","three_year_annualized_return"),"")</f>
        <v/>
      </c>
      <c r="G67" s="20" t="str">
        <f ca="1">IFERROR(ycps("XLE","five_year_annualized_return"),"")</f>
        <v/>
      </c>
      <c r="H67" s="20" t="str">
        <f ca="1">IFERROR(ycps("XLE","one_year_volatility"),"")</f>
        <v/>
      </c>
      <c r="I67" s="20" t="str">
        <f ca="1">IFERROR(ycps("XLE","max_drawdown_3_year"),"")</f>
        <v/>
      </c>
      <c r="J67" s="38" t="str">
        <f ca="1">IFERROR(ycps("XLE","beta_5_year"),"")</f>
        <v/>
      </c>
      <c r="K67" s="39" t="str">
        <f ca="1">IFERROR(ycps("XLE","dividend_yield"),"")</f>
        <v/>
      </c>
      <c r="L67" s="40" t="str">
        <f ca="1">IFERROR(ycps("XLE","forward_pe_ratio"),"")</f>
        <v/>
      </c>
      <c r="M67" s="20" t="str">
        <f ca="1">IFERROR(ycps("XLE","one_month_return"),"")</f>
        <v/>
      </c>
      <c r="N67" s="20" t="str">
        <f ca="1">IFERROR(ycps("XLE","three_month_return"),"")</f>
        <v/>
      </c>
      <c r="O67" s="20" t="str">
        <f ca="1">IFERROR(ycps("XLE","six_month_return"),"")</f>
        <v/>
      </c>
      <c r="P67" s="20" t="str">
        <f ca="1">IFERROR(ycps("XLE","one_year_return"),"")</f>
        <v/>
      </c>
      <c r="Q67" s="41"/>
      <c r="R67" s="41"/>
      <c r="S67" s="15"/>
      <c r="T67" s="15"/>
      <c r="U67" s="15"/>
      <c r="V67" s="42" t="str">
        <f t="shared" ca="1" si="0"/>
        <v/>
      </c>
      <c r="W67" s="42" t="str">
        <f t="shared" ca="1" si="1"/>
        <v/>
      </c>
      <c r="X67" s="42" t="str">
        <f t="shared" ca="1" si="2"/>
        <v/>
      </c>
      <c r="Y67" s="42" t="str">
        <f t="shared" ca="1" si="3"/>
        <v/>
      </c>
      <c r="Z67" s="43">
        <f t="shared" ca="1" si="4"/>
        <v>0</v>
      </c>
      <c r="AA67" s="43">
        <f t="shared" ca="1" si="5"/>
        <v>0</v>
      </c>
      <c r="AB67" s="43">
        <f t="shared" ca="1" si="6"/>
        <v>0</v>
      </c>
      <c r="AC67" s="43">
        <f t="shared" ca="1" si="7"/>
        <v>0</v>
      </c>
      <c r="AD67" s="23">
        <v>0.03</v>
      </c>
      <c r="AE67" s="23">
        <v>0.03</v>
      </c>
      <c r="AF67" s="44">
        <f t="shared" si="8"/>
        <v>0</v>
      </c>
      <c r="AG67" s="17" t="str">
        <f t="shared" ca="1" si="9"/>
        <v>HOLD</v>
      </c>
    </row>
    <row r="68" spans="1:33" ht="15" customHeight="1" x14ac:dyDescent="0.3">
      <c r="A68" s="13" t="s">
        <v>128</v>
      </c>
      <c r="B68" s="13" t="s">
        <v>110</v>
      </c>
      <c r="C68" s="13" t="s">
        <v>111</v>
      </c>
      <c r="D68" s="37" t="str">
        <f ca="1">IFERROR(ycps("XLF","price"),"")</f>
        <v/>
      </c>
      <c r="E68" s="20" t="str">
        <f ca="1">IFERROR(ycps("XLF","one_year_return"),"")</f>
        <v/>
      </c>
      <c r="F68" s="20" t="str">
        <f ca="1">IFERROR(ycps("XLF","three_year_annualized_return"),"")</f>
        <v/>
      </c>
      <c r="G68" s="20" t="str">
        <f ca="1">IFERROR(ycps("XLF","five_year_annualized_return"),"")</f>
        <v/>
      </c>
      <c r="H68" s="20" t="str">
        <f ca="1">IFERROR(ycps("XLF","one_year_volatility"),"")</f>
        <v/>
      </c>
      <c r="I68" s="20" t="str">
        <f ca="1">IFERROR(ycps("XLF","max_drawdown_3_year"),"")</f>
        <v/>
      </c>
      <c r="J68" s="38" t="str">
        <f ca="1">IFERROR(ycps("XLF","beta_5_year"),"")</f>
        <v/>
      </c>
      <c r="K68" s="39" t="str">
        <f ca="1">IFERROR(ycps("XLF","dividend_yield"),"")</f>
        <v/>
      </c>
      <c r="L68" s="40" t="str">
        <f ca="1">IFERROR(ycps("XLF","forward_pe_ratio"),"")</f>
        <v/>
      </c>
      <c r="M68" s="20" t="str">
        <f ca="1">IFERROR(ycps("XLF","one_month_return"),"")</f>
        <v/>
      </c>
      <c r="N68" s="20" t="str">
        <f ca="1">IFERROR(ycps("XLF","three_month_return"),"")</f>
        <v/>
      </c>
      <c r="O68" s="20" t="str">
        <f ca="1">IFERROR(ycps("XLF","six_month_return"),"")</f>
        <v/>
      </c>
      <c r="P68" s="20" t="str">
        <f ca="1">IFERROR(ycps("XLF","one_year_return"),"")</f>
        <v/>
      </c>
      <c r="Q68" s="41"/>
      <c r="R68" s="41"/>
      <c r="S68" s="15"/>
      <c r="T68" s="15"/>
      <c r="U68" s="15"/>
      <c r="V68" s="42" t="str">
        <f t="shared" ca="1" si="0"/>
        <v/>
      </c>
      <c r="W68" s="42" t="str">
        <f t="shared" ca="1" si="1"/>
        <v/>
      </c>
      <c r="X68" s="42" t="str">
        <f t="shared" ca="1" si="2"/>
        <v/>
      </c>
      <c r="Y68" s="42" t="str">
        <f t="shared" ca="1" si="3"/>
        <v/>
      </c>
      <c r="Z68" s="43">
        <f t="shared" ca="1" si="4"/>
        <v>0</v>
      </c>
      <c r="AA68" s="43">
        <f t="shared" ca="1" si="5"/>
        <v>0</v>
      </c>
      <c r="AB68" s="43">
        <f t="shared" ca="1" si="6"/>
        <v>0</v>
      </c>
      <c r="AC68" s="43">
        <f t="shared" ca="1" si="7"/>
        <v>0</v>
      </c>
      <c r="AD68" s="23">
        <v>0.04</v>
      </c>
      <c r="AE68" s="23">
        <v>0.05</v>
      </c>
      <c r="AF68" s="44">
        <f t="shared" si="8"/>
        <v>1.0000000000000002E-2</v>
      </c>
      <c r="AG68" s="17" t="str">
        <f t="shared" ca="1" si="9"/>
        <v>TRIM</v>
      </c>
    </row>
    <row r="69" spans="1:33" ht="15" customHeight="1" x14ac:dyDescent="0.3">
      <c r="A69" s="13" t="s">
        <v>129</v>
      </c>
      <c r="B69" s="13" t="s">
        <v>130</v>
      </c>
      <c r="C69" s="13" t="s">
        <v>111</v>
      </c>
      <c r="D69" s="37" t="str">
        <f ca="1">IFERROR(ycps("DBMF","price"),"")</f>
        <v/>
      </c>
      <c r="E69" s="20" t="str">
        <f ca="1">IFERROR(ycps("DBMF","one_year_return"),"")</f>
        <v/>
      </c>
      <c r="F69" s="20" t="str">
        <f ca="1">IFERROR(ycps("DBMF","three_year_annualized_return"),"")</f>
        <v/>
      </c>
      <c r="G69" s="20" t="str">
        <f ca="1">IFERROR(ycps("DBMF","five_year_annualized_return"),"")</f>
        <v/>
      </c>
      <c r="H69" s="20" t="str">
        <f ca="1">IFERROR(ycps("DBMF","one_year_volatility"),"")</f>
        <v/>
      </c>
      <c r="I69" s="20" t="str">
        <f ca="1">IFERROR(ycps("DBMF","max_drawdown_3_year"),"")</f>
        <v/>
      </c>
      <c r="J69" s="38" t="str">
        <f ca="1">IFERROR(ycps("DBMF","beta_5_year"),"")</f>
        <v/>
      </c>
      <c r="K69" s="39" t="str">
        <f ca="1">IFERROR(ycps("DBMF","dividend_yield"),"")</f>
        <v/>
      </c>
      <c r="L69" s="45" t="s">
        <v>119</v>
      </c>
      <c r="M69" s="20" t="str">
        <f ca="1">IFERROR(ycps("DBMF","one_month_return"),"")</f>
        <v/>
      </c>
      <c r="N69" s="20" t="str">
        <f ca="1">IFERROR(ycps("DBMF","three_month_return"),"")</f>
        <v/>
      </c>
      <c r="O69" s="20" t="str">
        <f ca="1">IFERROR(ycps("DBMF","six_month_return"),"")</f>
        <v/>
      </c>
      <c r="P69" s="20" t="str">
        <f ca="1">IFERROR(ycps("DBMF","one_year_return"),"")</f>
        <v/>
      </c>
      <c r="Q69" s="41"/>
      <c r="R69" s="41"/>
      <c r="S69" s="15"/>
      <c r="T69" s="15"/>
      <c r="U69" s="15"/>
      <c r="V69" s="42" t="str">
        <f t="shared" ca="1" si="0"/>
        <v/>
      </c>
      <c r="W69" s="42" t="str">
        <f t="shared" ca="1" si="1"/>
        <v/>
      </c>
      <c r="X69" s="42" t="str">
        <f t="shared" ca="1" si="2"/>
        <v/>
      </c>
      <c r="Y69" s="42" t="str">
        <f t="shared" ca="1" si="3"/>
        <v/>
      </c>
      <c r="Z69" s="43">
        <f t="shared" ca="1" si="4"/>
        <v>0</v>
      </c>
      <c r="AA69" s="43">
        <f t="shared" ca="1" si="5"/>
        <v>0</v>
      </c>
      <c r="AB69" s="43">
        <f t="shared" ca="1" si="6"/>
        <v>0</v>
      </c>
      <c r="AC69" s="43">
        <f t="shared" ca="1" si="7"/>
        <v>0</v>
      </c>
      <c r="AD69" s="23">
        <v>0.06</v>
      </c>
      <c r="AE69" s="23">
        <v>5.5E-2</v>
      </c>
      <c r="AF69" s="44">
        <f t="shared" si="8"/>
        <v>-4.9999999999999975E-3</v>
      </c>
      <c r="AG69" s="17" t="str">
        <f t="shared" ca="1" si="9"/>
        <v>HOLD</v>
      </c>
    </row>
    <row r="70" spans="1:33" ht="15" customHeight="1" x14ac:dyDescent="0.3">
      <c r="A70" s="13" t="s">
        <v>131</v>
      </c>
      <c r="B70" s="13" t="s">
        <v>130</v>
      </c>
      <c r="C70" s="13" t="s">
        <v>111</v>
      </c>
      <c r="D70" s="37" t="str">
        <f ca="1">IFERROR(ycps("CTA","price"),"")</f>
        <v/>
      </c>
      <c r="E70" s="20" t="str">
        <f ca="1">IFERROR(ycps("CTA","one_year_return"),"")</f>
        <v/>
      </c>
      <c r="F70" s="20" t="str">
        <f ca="1">IFERROR(ycps("CTA","three_year_annualized_return"),"")</f>
        <v/>
      </c>
      <c r="G70" s="20" t="str">
        <f ca="1">IFERROR(ycps("CTA","five_year_annualized_return"),"")</f>
        <v/>
      </c>
      <c r="H70" s="20" t="str">
        <f ca="1">IFERROR(ycps("CTA","one_year_volatility"),"")</f>
        <v/>
      </c>
      <c r="I70" s="20" t="str">
        <f ca="1">IFERROR(ycps("CTA","max_drawdown_3_year"),"")</f>
        <v/>
      </c>
      <c r="J70" s="38" t="str">
        <f ca="1">IFERROR(ycps("CTA","beta_5_year"),"")</f>
        <v/>
      </c>
      <c r="K70" s="39" t="str">
        <f ca="1">IFERROR(ycps("CTA","dividend_yield"),"")</f>
        <v/>
      </c>
      <c r="L70" s="45" t="s">
        <v>119</v>
      </c>
      <c r="M70" s="20" t="str">
        <f ca="1">IFERROR(ycps("CTA","one_month_return"),"")</f>
        <v/>
      </c>
      <c r="N70" s="20" t="str">
        <f ca="1">IFERROR(ycps("CTA","three_month_return"),"")</f>
        <v/>
      </c>
      <c r="O70" s="20" t="str">
        <f ca="1">IFERROR(ycps("CTA","six_month_return"),"")</f>
        <v/>
      </c>
      <c r="P70" s="20" t="str">
        <f ca="1">IFERROR(ycps("CTA","one_year_return"),"")</f>
        <v/>
      </c>
      <c r="Q70" s="41"/>
      <c r="R70" s="41"/>
      <c r="S70" s="15"/>
      <c r="T70" s="15"/>
      <c r="U70" s="15"/>
      <c r="V70" s="42" t="str">
        <f t="shared" ca="1" si="0"/>
        <v/>
      </c>
      <c r="W70" s="42" t="str">
        <f t="shared" ca="1" si="1"/>
        <v/>
      </c>
      <c r="X70" s="42" t="str">
        <f t="shared" ca="1" si="2"/>
        <v/>
      </c>
      <c r="Y70" s="42" t="str">
        <f t="shared" ca="1" si="3"/>
        <v/>
      </c>
      <c r="Z70" s="43">
        <f t="shared" ca="1" si="4"/>
        <v>0</v>
      </c>
      <c r="AA70" s="43">
        <f t="shared" ca="1" si="5"/>
        <v>0</v>
      </c>
      <c r="AB70" s="43">
        <f t="shared" ca="1" si="6"/>
        <v>0</v>
      </c>
      <c r="AC70" s="43">
        <f t="shared" ca="1" si="7"/>
        <v>0</v>
      </c>
      <c r="AD70" s="23">
        <v>0.04</v>
      </c>
      <c r="AE70" s="23">
        <v>0.04</v>
      </c>
      <c r="AF70" s="44">
        <f t="shared" si="8"/>
        <v>0</v>
      </c>
      <c r="AG70" s="17" t="str">
        <f t="shared" ca="1" si="9"/>
        <v>HOLD</v>
      </c>
    </row>
    <row r="71" spans="1:33" ht="15" customHeight="1" x14ac:dyDescent="0.3">
      <c r="A71" s="13" t="s">
        <v>132</v>
      </c>
      <c r="B71" s="13" t="s">
        <v>130</v>
      </c>
      <c r="C71" s="13" t="s">
        <v>111</v>
      </c>
      <c r="D71" s="37" t="str">
        <f ca="1">IFERROR(ycps("KMLM","price"),"")</f>
        <v/>
      </c>
      <c r="E71" s="20" t="str">
        <f ca="1">IFERROR(ycps("KMLM","one_year_return"),"")</f>
        <v/>
      </c>
      <c r="F71" s="20" t="str">
        <f ca="1">IFERROR(ycps("KMLM","three_year_annualized_return"),"")</f>
        <v/>
      </c>
      <c r="G71" s="20" t="str">
        <f ca="1">IFERROR(ycps("KMLM","five_year_annualized_return"),"")</f>
        <v/>
      </c>
      <c r="H71" s="20" t="str">
        <f ca="1">IFERROR(ycps("KMLM","one_year_volatility"),"")</f>
        <v/>
      </c>
      <c r="I71" s="20" t="str">
        <f ca="1">IFERROR(ycps("KMLM","max_drawdown_3_year"),"")</f>
        <v/>
      </c>
      <c r="J71" s="38" t="str">
        <f ca="1">IFERROR(ycps("KMLM","beta_5_year"),"")</f>
        <v/>
      </c>
      <c r="K71" s="39" t="str">
        <f ca="1">IFERROR(ycps("KMLM","dividend_yield"),"")</f>
        <v/>
      </c>
      <c r="L71" s="45" t="s">
        <v>119</v>
      </c>
      <c r="M71" s="20" t="str">
        <f ca="1">IFERROR(ycps("KMLM","one_month_return"),"")</f>
        <v/>
      </c>
      <c r="N71" s="20" t="str">
        <f ca="1">IFERROR(ycps("KMLM","three_month_return"),"")</f>
        <v/>
      </c>
      <c r="O71" s="20" t="str">
        <f ca="1">IFERROR(ycps("KMLM","six_month_return"),"")</f>
        <v/>
      </c>
      <c r="P71" s="20" t="str">
        <f ca="1">IFERROR(ycps("KMLM","one_year_return"),"")</f>
        <v/>
      </c>
      <c r="Q71" s="41"/>
      <c r="R71" s="41"/>
      <c r="S71" s="15"/>
      <c r="T71" s="15"/>
      <c r="U71" s="15"/>
      <c r="V71" s="42" t="str">
        <f t="shared" ca="1" si="0"/>
        <v/>
      </c>
      <c r="W71" s="42" t="str">
        <f t="shared" ca="1" si="1"/>
        <v/>
      </c>
      <c r="X71" s="42" t="str">
        <f t="shared" ca="1" si="2"/>
        <v/>
      </c>
      <c r="Y71" s="42" t="str">
        <f t="shared" ca="1" si="3"/>
        <v/>
      </c>
      <c r="Z71" s="43">
        <f t="shared" ca="1" si="4"/>
        <v>0</v>
      </c>
      <c r="AA71" s="43">
        <f t="shared" ca="1" si="5"/>
        <v>0</v>
      </c>
      <c r="AB71" s="43">
        <f t="shared" ca="1" si="6"/>
        <v>0</v>
      </c>
      <c r="AC71" s="43">
        <f t="shared" ca="1" si="7"/>
        <v>0</v>
      </c>
      <c r="AD71" s="23">
        <v>0.04</v>
      </c>
      <c r="AE71" s="23">
        <v>0.05</v>
      </c>
      <c r="AF71" s="44">
        <f t="shared" si="8"/>
        <v>1.0000000000000002E-2</v>
      </c>
      <c r="AG71" s="17" t="str">
        <f t="shared" ca="1" si="9"/>
        <v>TRIM</v>
      </c>
    </row>
    <row r="72" spans="1:33" ht="15" customHeight="1" x14ac:dyDescent="0.3">
      <c r="A72" s="13" t="s">
        <v>133</v>
      </c>
      <c r="B72" s="13" t="s">
        <v>134</v>
      </c>
      <c r="C72" s="13" t="s">
        <v>111</v>
      </c>
      <c r="D72" s="37" t="str">
        <f ca="1">IFERROR(ycps("BTAL","price"),"")</f>
        <v/>
      </c>
      <c r="E72" s="20" t="str">
        <f ca="1">IFERROR(ycps("BTAL","one_year_return"),"")</f>
        <v/>
      </c>
      <c r="F72" s="20" t="str">
        <f ca="1">IFERROR(ycps("BTAL","three_year_annualized_return"),"")</f>
        <v/>
      </c>
      <c r="G72" s="20" t="str">
        <f ca="1">IFERROR(ycps("BTAL","five_year_annualized_return"),"")</f>
        <v/>
      </c>
      <c r="H72" s="20" t="str">
        <f ca="1">IFERROR(ycps("BTAL","one_year_volatility"),"")</f>
        <v/>
      </c>
      <c r="I72" s="20" t="str">
        <f ca="1">IFERROR(ycps("BTAL","max_drawdown_3_year"),"")</f>
        <v/>
      </c>
      <c r="J72" s="38" t="str">
        <f ca="1">IFERROR(ycps("BTAL","beta_5_year"),"")</f>
        <v/>
      </c>
      <c r="K72" s="39" t="str">
        <f ca="1">IFERROR(ycps("BTAL","dividend_yield"),"")</f>
        <v/>
      </c>
      <c r="L72" s="45" t="s">
        <v>119</v>
      </c>
      <c r="M72" s="20" t="str">
        <f ca="1">IFERROR(ycps("BTAL","one_month_return"),"")</f>
        <v/>
      </c>
      <c r="N72" s="20" t="str">
        <f ca="1">IFERROR(ycps("BTAL","three_month_return"),"")</f>
        <v/>
      </c>
      <c r="O72" s="20" t="str">
        <f ca="1">IFERROR(ycps("BTAL","six_month_return"),"")</f>
        <v/>
      </c>
      <c r="P72" s="20" t="str">
        <f ca="1">IFERROR(ycps("BTAL","one_year_return"),"")</f>
        <v/>
      </c>
      <c r="Q72" s="41"/>
      <c r="R72" s="41"/>
      <c r="S72" s="15"/>
      <c r="T72" s="15"/>
      <c r="U72" s="15"/>
      <c r="V72" s="42" t="str">
        <f t="shared" ca="1" si="0"/>
        <v/>
      </c>
      <c r="W72" s="42" t="str">
        <f t="shared" ca="1" si="1"/>
        <v/>
      </c>
      <c r="X72" s="42" t="str">
        <f t="shared" ca="1" si="2"/>
        <v/>
      </c>
      <c r="Y72" s="42" t="str">
        <f t="shared" ca="1" si="3"/>
        <v/>
      </c>
      <c r="Z72" s="43">
        <f t="shared" ca="1" si="4"/>
        <v>0</v>
      </c>
      <c r="AA72" s="43">
        <f t="shared" ca="1" si="5"/>
        <v>0</v>
      </c>
      <c r="AB72" s="43">
        <f t="shared" ca="1" si="6"/>
        <v>0</v>
      </c>
      <c r="AC72" s="43">
        <f t="shared" ca="1" si="7"/>
        <v>0</v>
      </c>
      <c r="AD72" s="23">
        <v>0.03</v>
      </c>
      <c r="AE72" s="23">
        <v>2.5000000000000001E-2</v>
      </c>
      <c r="AF72" s="44">
        <f t="shared" si="8"/>
        <v>-4.9999999999999975E-3</v>
      </c>
      <c r="AG72" s="17" t="str">
        <f t="shared" ca="1" si="9"/>
        <v>HOLD</v>
      </c>
    </row>
    <row r="73" spans="1:33" ht="15" customHeight="1" x14ac:dyDescent="0.3">
      <c r="A73" s="13" t="s">
        <v>135</v>
      </c>
      <c r="B73" s="13" t="s">
        <v>134</v>
      </c>
      <c r="C73" s="13" t="s">
        <v>111</v>
      </c>
      <c r="D73" s="37" t="str">
        <f ca="1">IFERROR(ycps("TAIL","price"),"")</f>
        <v/>
      </c>
      <c r="E73" s="20" t="str">
        <f ca="1">IFERROR(ycps("TAIL","one_year_return"),"")</f>
        <v/>
      </c>
      <c r="F73" s="20" t="str">
        <f ca="1">IFERROR(ycps("TAIL","three_year_annualized_return"),"")</f>
        <v/>
      </c>
      <c r="G73" s="20" t="str">
        <f ca="1">IFERROR(ycps("TAIL","five_year_annualized_return"),"")</f>
        <v/>
      </c>
      <c r="H73" s="20" t="str">
        <f ca="1">IFERROR(ycps("TAIL","one_year_volatility"),"")</f>
        <v/>
      </c>
      <c r="I73" s="20" t="str">
        <f ca="1">IFERROR(ycps("TAIL","max_drawdown_3_year"),"")</f>
        <v/>
      </c>
      <c r="J73" s="38" t="str">
        <f ca="1">IFERROR(ycps("TAIL","beta_5_year"),"")</f>
        <v/>
      </c>
      <c r="K73" s="39" t="str">
        <f ca="1">IFERROR(ycps("TAIL","dividend_yield"),"")</f>
        <v/>
      </c>
      <c r="L73" s="45" t="s">
        <v>119</v>
      </c>
      <c r="M73" s="20" t="str">
        <f ca="1">IFERROR(ycps("TAIL","one_month_return"),"")</f>
        <v/>
      </c>
      <c r="N73" s="20" t="str">
        <f ca="1">IFERROR(ycps("TAIL","three_month_return"),"")</f>
        <v/>
      </c>
      <c r="O73" s="20" t="str">
        <f ca="1">IFERROR(ycps("TAIL","six_month_return"),"")</f>
        <v/>
      </c>
      <c r="P73" s="20" t="str">
        <f ca="1">IFERROR(ycps("TAIL","one_year_return"),"")</f>
        <v/>
      </c>
      <c r="Q73" s="41"/>
      <c r="R73" s="41"/>
      <c r="S73" s="15"/>
      <c r="T73" s="15"/>
      <c r="U73" s="15"/>
      <c r="V73" s="42" t="str">
        <f t="shared" ca="1" si="0"/>
        <v/>
      </c>
      <c r="W73" s="42" t="str">
        <f t="shared" ca="1" si="1"/>
        <v/>
      </c>
      <c r="X73" s="42" t="str">
        <f t="shared" ca="1" si="2"/>
        <v/>
      </c>
      <c r="Y73" s="42" t="str">
        <f t="shared" ca="1" si="3"/>
        <v/>
      </c>
      <c r="Z73" s="43">
        <f t="shared" ca="1" si="4"/>
        <v>0</v>
      </c>
      <c r="AA73" s="43">
        <f t="shared" ca="1" si="5"/>
        <v>0</v>
      </c>
      <c r="AB73" s="43">
        <f t="shared" ca="1" si="6"/>
        <v>0</v>
      </c>
      <c r="AC73" s="43">
        <f t="shared" ca="1" si="7"/>
        <v>0</v>
      </c>
      <c r="AD73" s="23">
        <v>0.02</v>
      </c>
      <c r="AE73" s="23">
        <v>0.02</v>
      </c>
      <c r="AF73" s="44">
        <f t="shared" si="8"/>
        <v>0</v>
      </c>
      <c r="AG73" s="17" t="str">
        <f t="shared" ca="1" si="9"/>
        <v>HOLD</v>
      </c>
    </row>
    <row r="74" spans="1:33" ht="15" customHeight="1" x14ac:dyDescent="0.3">
      <c r="A74" s="13" t="s">
        <v>136</v>
      </c>
      <c r="B74" s="13" t="s">
        <v>110</v>
      </c>
      <c r="C74" s="13" t="s">
        <v>137</v>
      </c>
      <c r="D74" s="37" t="str">
        <f ca="1">IFERROR(ycps("AAPL","price"),"")</f>
        <v/>
      </c>
      <c r="E74" s="20" t="str">
        <f ca="1">IFERROR(ycps("AAPL","one_year_return"),"")</f>
        <v/>
      </c>
      <c r="F74" s="20" t="str">
        <f ca="1">IFERROR(ycps("AAPL","three_year_annualized_return"),"")</f>
        <v/>
      </c>
      <c r="G74" s="20" t="str">
        <f ca="1">IFERROR(ycps("AAPL","five_year_annualized_return"),"")</f>
        <v/>
      </c>
      <c r="H74" s="20" t="str">
        <f ca="1">IFERROR(ycps("AAPL","one_year_volatility"),"")</f>
        <v/>
      </c>
      <c r="I74" s="20" t="str">
        <f ca="1">IFERROR(ycps("AAPL","max_drawdown_3_year"),"")</f>
        <v/>
      </c>
      <c r="J74" s="38" t="str">
        <f ca="1">IFERROR(ycps("AAPL","beta_5_year"),"")</f>
        <v/>
      </c>
      <c r="K74" s="39" t="str">
        <f ca="1">IFERROR(ycps("AAPL","dividend_yield"),"")</f>
        <v/>
      </c>
      <c r="L74" s="40" t="str">
        <f ca="1">IFERROR(ycps("AAPL","forward_pe_ratio"),"")</f>
        <v/>
      </c>
      <c r="M74" s="20" t="str">
        <f ca="1">IFERROR(ycps("AAPL","one_month_return"),"")</f>
        <v/>
      </c>
      <c r="N74" s="20" t="str">
        <f ca="1">IFERROR(ycps("AAPL","three_month_return"),"")</f>
        <v/>
      </c>
      <c r="O74" s="20" t="str">
        <f ca="1">IFERROR(ycps("AAPL","six_month_return"),"")</f>
        <v/>
      </c>
      <c r="P74" s="20" t="str">
        <f ca="1">IFERROR(ycps("AAPL","one_year_return"),"")</f>
        <v/>
      </c>
      <c r="Q74" s="41"/>
      <c r="R74" s="41"/>
      <c r="S74" s="15"/>
      <c r="T74" s="15"/>
      <c r="U74" s="15"/>
      <c r="V74" s="42" t="str">
        <f t="shared" ca="1" si="0"/>
        <v/>
      </c>
      <c r="W74" s="42" t="str">
        <f t="shared" ca="1" si="1"/>
        <v/>
      </c>
      <c r="X74" s="42" t="str">
        <f t="shared" ca="1" si="2"/>
        <v/>
      </c>
      <c r="Y74" s="42" t="str">
        <f t="shared" ca="1" si="3"/>
        <v/>
      </c>
      <c r="Z74" s="43">
        <f t="shared" ca="1" si="4"/>
        <v>0</v>
      </c>
      <c r="AA74" s="43">
        <f t="shared" ca="1" si="5"/>
        <v>0</v>
      </c>
      <c r="AB74" s="43">
        <f t="shared" ca="1" si="6"/>
        <v>0</v>
      </c>
      <c r="AC74" s="43">
        <f t="shared" ca="1" si="7"/>
        <v>0</v>
      </c>
      <c r="AD74" s="23">
        <v>0.02</v>
      </c>
      <c r="AE74" s="23">
        <v>0.03</v>
      </c>
      <c r="AF74" s="44">
        <f t="shared" si="8"/>
        <v>9.9999999999999985E-3</v>
      </c>
      <c r="AG74" s="17" t="str">
        <f t="shared" ca="1" si="9"/>
        <v>TRIM</v>
      </c>
    </row>
    <row r="75" spans="1:33" ht="15" customHeight="1" x14ac:dyDescent="0.3">
      <c r="A75" s="13" t="s">
        <v>138</v>
      </c>
      <c r="B75" s="13" t="s">
        <v>110</v>
      </c>
      <c r="C75" s="13" t="s">
        <v>137</v>
      </c>
      <c r="D75" s="37" t="str">
        <f ca="1">IFERROR(ycps("MSFT","price"),"")</f>
        <v/>
      </c>
      <c r="E75" s="20" t="str">
        <f ca="1">IFERROR(ycps("MSFT","one_year_return"),"")</f>
        <v/>
      </c>
      <c r="F75" s="20" t="str">
        <f ca="1">IFERROR(ycps("MSFT","three_year_annualized_return"),"")</f>
        <v/>
      </c>
      <c r="G75" s="20" t="str">
        <f ca="1">IFERROR(ycps("MSFT","five_year_annualized_return"),"")</f>
        <v/>
      </c>
      <c r="H75" s="20" t="str">
        <f ca="1">IFERROR(ycps("MSFT","one_year_volatility"),"")</f>
        <v/>
      </c>
      <c r="I75" s="20" t="str">
        <f ca="1">IFERROR(ycps("MSFT","max_drawdown_3_year"),"")</f>
        <v/>
      </c>
      <c r="J75" s="38" t="str">
        <f ca="1">IFERROR(ycps("MSFT","beta_5_year"),"")</f>
        <v/>
      </c>
      <c r="K75" s="39" t="str">
        <f ca="1">IFERROR(ycps("MSFT","dividend_yield"),"")</f>
        <v/>
      </c>
      <c r="L75" s="40" t="str">
        <f ca="1">IFERROR(ycps("MSFT","forward_pe_ratio"),"")</f>
        <v/>
      </c>
      <c r="M75" s="20" t="str">
        <f ca="1">IFERROR(ycps("MSFT","one_month_return"),"")</f>
        <v/>
      </c>
      <c r="N75" s="20" t="str">
        <f ca="1">IFERROR(ycps("MSFT","three_month_return"),"")</f>
        <v/>
      </c>
      <c r="O75" s="20" t="str">
        <f ca="1">IFERROR(ycps("MSFT","six_month_return"),"")</f>
        <v/>
      </c>
      <c r="P75" s="20" t="str">
        <f ca="1">IFERROR(ycps("MSFT","one_year_return"),"")</f>
        <v/>
      </c>
      <c r="Q75" s="41"/>
      <c r="R75" s="41"/>
      <c r="S75" s="15"/>
      <c r="T75" s="15"/>
      <c r="U75" s="15"/>
      <c r="V75" s="42" t="str">
        <f t="shared" ca="1" si="0"/>
        <v/>
      </c>
      <c r="W75" s="42" t="str">
        <f t="shared" ca="1" si="1"/>
        <v/>
      </c>
      <c r="X75" s="42" t="str">
        <f t="shared" ca="1" si="2"/>
        <v/>
      </c>
      <c r="Y75" s="42" t="str">
        <f t="shared" ca="1" si="3"/>
        <v/>
      </c>
      <c r="Z75" s="43">
        <f t="shared" ca="1" si="4"/>
        <v>0</v>
      </c>
      <c r="AA75" s="43">
        <f t="shared" ca="1" si="5"/>
        <v>0</v>
      </c>
      <c r="AB75" s="43">
        <f t="shared" ca="1" si="6"/>
        <v>0</v>
      </c>
      <c r="AC75" s="43">
        <f t="shared" ca="1" si="7"/>
        <v>0</v>
      </c>
      <c r="AD75" s="23">
        <v>0.02</v>
      </c>
      <c r="AE75" s="23">
        <v>1.4999999999999999E-2</v>
      </c>
      <c r="AF75" s="44">
        <f t="shared" si="8"/>
        <v>-5.000000000000001E-3</v>
      </c>
      <c r="AG75" s="17" t="str">
        <f t="shared" ca="1" si="9"/>
        <v>HOLD</v>
      </c>
    </row>
    <row r="76" spans="1:33" ht="15" customHeight="1" x14ac:dyDescent="0.3">
      <c r="A76" s="13" t="s">
        <v>139</v>
      </c>
      <c r="B76" s="13" t="s">
        <v>110</v>
      </c>
      <c r="C76" s="13" t="s">
        <v>137</v>
      </c>
      <c r="D76" s="37" t="str">
        <f ca="1">IFERROR(ycps("NVDA","price"),"")</f>
        <v/>
      </c>
      <c r="E76" s="20" t="str">
        <f ca="1">IFERROR(ycps("NVDA","one_year_return"),"")</f>
        <v/>
      </c>
      <c r="F76" s="20" t="str">
        <f ca="1">IFERROR(ycps("NVDA","three_year_annualized_return"),"")</f>
        <v/>
      </c>
      <c r="G76" s="20" t="str">
        <f ca="1">IFERROR(ycps("NVDA","five_year_annualized_return"),"")</f>
        <v/>
      </c>
      <c r="H76" s="20" t="str">
        <f ca="1">IFERROR(ycps("NVDA","one_year_volatility"),"")</f>
        <v/>
      </c>
      <c r="I76" s="20" t="str">
        <f ca="1">IFERROR(ycps("NVDA","max_drawdown_3_year"),"")</f>
        <v/>
      </c>
      <c r="J76" s="38" t="str">
        <f ca="1">IFERROR(ycps("NVDA","beta_5_year"),"")</f>
        <v/>
      </c>
      <c r="K76" s="39" t="str">
        <f ca="1">IFERROR(ycps("NVDA","dividend_yield"),"")</f>
        <v/>
      </c>
      <c r="L76" s="40" t="str">
        <f ca="1">IFERROR(ycps("NVDA","forward_pe_ratio"),"")</f>
        <v/>
      </c>
      <c r="M76" s="20" t="str">
        <f ca="1">IFERROR(ycps("NVDA","one_month_return"),"")</f>
        <v/>
      </c>
      <c r="N76" s="20" t="str">
        <f ca="1">IFERROR(ycps("NVDA","three_month_return"),"")</f>
        <v/>
      </c>
      <c r="O76" s="20" t="str">
        <f ca="1">IFERROR(ycps("NVDA","six_month_return"),"")</f>
        <v/>
      </c>
      <c r="P76" s="20" t="str">
        <f ca="1">IFERROR(ycps("NVDA","one_year_return"),"")</f>
        <v/>
      </c>
      <c r="Q76" s="41"/>
      <c r="R76" s="41"/>
      <c r="S76" s="15"/>
      <c r="T76" s="15"/>
      <c r="U76" s="15"/>
      <c r="V76" s="42" t="str">
        <f t="shared" ca="1" si="0"/>
        <v/>
      </c>
      <c r="W76" s="42" t="str">
        <f t="shared" ca="1" si="1"/>
        <v/>
      </c>
      <c r="X76" s="42" t="str">
        <f t="shared" ca="1" si="2"/>
        <v/>
      </c>
      <c r="Y76" s="42" t="str">
        <f t="shared" ca="1" si="3"/>
        <v/>
      </c>
      <c r="Z76" s="43">
        <f t="shared" ca="1" si="4"/>
        <v>0</v>
      </c>
      <c r="AA76" s="43">
        <f t="shared" ca="1" si="5"/>
        <v>0</v>
      </c>
      <c r="AB76" s="43">
        <f t="shared" ca="1" si="6"/>
        <v>0</v>
      </c>
      <c r="AC76" s="43">
        <f t="shared" ca="1" si="7"/>
        <v>0</v>
      </c>
      <c r="AD76" s="23">
        <v>0.01</v>
      </c>
      <c r="AE76" s="23">
        <v>0.01</v>
      </c>
      <c r="AF76" s="44">
        <f t="shared" si="8"/>
        <v>0</v>
      </c>
      <c r="AG76" s="17" t="str">
        <f t="shared" ca="1" si="9"/>
        <v>HOLD</v>
      </c>
    </row>
    <row r="77" spans="1:33" ht="15" customHeight="1" x14ac:dyDescent="0.3">
      <c r="A77" s="13" t="s">
        <v>140</v>
      </c>
      <c r="B77" s="13" t="s">
        <v>110</v>
      </c>
      <c r="C77" s="13" t="s">
        <v>137</v>
      </c>
      <c r="D77" s="37" t="str">
        <f ca="1">IFERROR(ycps("JPM","price"),"")</f>
        <v/>
      </c>
      <c r="E77" s="20" t="str">
        <f ca="1">IFERROR(ycps("JPM","one_year_return"),"")</f>
        <v/>
      </c>
      <c r="F77" s="20" t="str">
        <f ca="1">IFERROR(ycps("JPM","three_year_annualized_return"),"")</f>
        <v/>
      </c>
      <c r="G77" s="20" t="str">
        <f ca="1">IFERROR(ycps("JPM","five_year_annualized_return"),"")</f>
        <v/>
      </c>
      <c r="H77" s="20" t="str">
        <f ca="1">IFERROR(ycps("JPM","one_year_volatility"),"")</f>
        <v/>
      </c>
      <c r="I77" s="20" t="str">
        <f ca="1">IFERROR(ycps("JPM","max_drawdown_3_year"),"")</f>
        <v/>
      </c>
      <c r="J77" s="38" t="str">
        <f ca="1">IFERROR(ycps("JPM","beta_5_year"),"")</f>
        <v/>
      </c>
      <c r="K77" s="39" t="str">
        <f ca="1">IFERROR(ycps("JPM","dividend_yield"),"")</f>
        <v/>
      </c>
      <c r="L77" s="40" t="str">
        <f ca="1">IFERROR(ycps("JPM","forward_pe_ratio"),"")</f>
        <v/>
      </c>
      <c r="M77" s="20" t="str">
        <f ca="1">IFERROR(ycps("JPM","one_month_return"),"")</f>
        <v/>
      </c>
      <c r="N77" s="20" t="str">
        <f ca="1">IFERROR(ycps("JPM","three_month_return"),"")</f>
        <v/>
      </c>
      <c r="O77" s="20" t="str">
        <f ca="1">IFERROR(ycps("JPM","six_month_return"),"")</f>
        <v/>
      </c>
      <c r="P77" s="20" t="str">
        <f ca="1">IFERROR(ycps("JPM","one_year_return"),"")</f>
        <v/>
      </c>
      <c r="Q77" s="41"/>
      <c r="R77" s="41"/>
      <c r="S77" s="15"/>
      <c r="T77" s="15"/>
      <c r="U77" s="15"/>
      <c r="V77" s="42" t="str">
        <f t="shared" ca="1" si="0"/>
        <v/>
      </c>
      <c r="W77" s="42" t="str">
        <f t="shared" ca="1" si="1"/>
        <v/>
      </c>
      <c r="X77" s="42" t="str">
        <f t="shared" ca="1" si="2"/>
        <v/>
      </c>
      <c r="Y77" s="42" t="str">
        <f t="shared" ca="1" si="3"/>
        <v/>
      </c>
      <c r="Z77" s="43">
        <f t="shared" ca="1" si="4"/>
        <v>0</v>
      </c>
      <c r="AA77" s="43">
        <f t="shared" ca="1" si="5"/>
        <v>0</v>
      </c>
      <c r="AB77" s="43">
        <f t="shared" ca="1" si="6"/>
        <v>0</v>
      </c>
      <c r="AC77" s="43">
        <f t="shared" ca="1" si="7"/>
        <v>0</v>
      </c>
      <c r="AD77" s="23">
        <v>0.02</v>
      </c>
      <c r="AE77" s="23">
        <v>0.03</v>
      </c>
      <c r="AF77" s="44">
        <f t="shared" si="8"/>
        <v>9.9999999999999985E-3</v>
      </c>
      <c r="AG77" s="17" t="str">
        <f t="shared" ca="1" si="9"/>
        <v>TRIM</v>
      </c>
    </row>
    <row r="78" spans="1:33" ht="15" customHeight="1" x14ac:dyDescent="0.3">
      <c r="A78" s="13" t="s">
        <v>141</v>
      </c>
      <c r="B78" s="13" t="s">
        <v>110</v>
      </c>
      <c r="C78" s="13" t="s">
        <v>130</v>
      </c>
      <c r="D78" s="37" t="str">
        <f ca="1">IFERROR(ycps("VFIAX","price"),"")</f>
        <v/>
      </c>
      <c r="E78" s="20" t="str">
        <f ca="1">IFERROR(ycps("VFIAX","one_year_return"),"")</f>
        <v/>
      </c>
      <c r="F78" s="20" t="str">
        <f ca="1">IFERROR(ycps("VFIAX","three_year_annualized_return"),"")</f>
        <v/>
      </c>
      <c r="G78" s="20" t="str">
        <f ca="1">IFERROR(ycps("VFIAX","five_year_annualized_return"),"")</f>
        <v/>
      </c>
      <c r="H78" s="20" t="str">
        <f ca="1">IFERROR(ycps("VFIAX","one_year_volatility"),"")</f>
        <v/>
      </c>
      <c r="I78" s="20" t="str">
        <f ca="1">IFERROR(ycps("VFIAX","max_drawdown_3_year"),"")</f>
        <v/>
      </c>
      <c r="J78" s="38" t="str">
        <f ca="1">IFERROR(ycps("VFIAX","beta_5_year"),"")</f>
        <v/>
      </c>
      <c r="K78" s="39" t="str">
        <f ca="1">IFERROR(ycps("VFIAX","dividend_yield"),"")</f>
        <v/>
      </c>
      <c r="L78" s="40" t="str">
        <f ca="1">IFERROR(ycps("VFIAX","forward_pe_ratio"),"")</f>
        <v/>
      </c>
      <c r="M78" s="20" t="str">
        <f ca="1">IFERROR(ycps("VFIAX","one_month_return"),"")</f>
        <v/>
      </c>
      <c r="N78" s="20" t="str">
        <f ca="1">IFERROR(ycps("VFIAX","three_month_return"),"")</f>
        <v/>
      </c>
      <c r="O78" s="20" t="str">
        <f ca="1">IFERROR(ycps("VFIAX","six_month_return"),"")</f>
        <v/>
      </c>
      <c r="P78" s="20" t="str">
        <f ca="1">IFERROR(ycps("VFIAX","one_year_return"),"")</f>
        <v/>
      </c>
      <c r="Q78" s="41"/>
      <c r="R78" s="41"/>
      <c r="S78" s="15"/>
      <c r="T78" s="15"/>
      <c r="U78" s="15"/>
      <c r="V78" s="42" t="str">
        <f t="shared" ca="1" si="0"/>
        <v/>
      </c>
      <c r="W78" s="42" t="str">
        <f t="shared" ca="1" si="1"/>
        <v/>
      </c>
      <c r="X78" s="42" t="str">
        <f t="shared" ca="1" si="2"/>
        <v/>
      </c>
      <c r="Y78" s="42" t="str">
        <f t="shared" ca="1" si="3"/>
        <v/>
      </c>
      <c r="Z78" s="43">
        <f t="shared" ca="1" si="4"/>
        <v>0</v>
      </c>
      <c r="AA78" s="43">
        <f t="shared" ca="1" si="5"/>
        <v>0</v>
      </c>
      <c r="AB78" s="43">
        <f t="shared" ca="1" si="6"/>
        <v>0</v>
      </c>
      <c r="AC78" s="43">
        <f t="shared" ca="1" si="7"/>
        <v>0</v>
      </c>
      <c r="AD78" s="23">
        <v>0</v>
      </c>
      <c r="AE78" s="23">
        <v>-5.0000000000000001E-3</v>
      </c>
      <c r="AF78" s="44">
        <f t="shared" si="8"/>
        <v>-5.0000000000000001E-3</v>
      </c>
      <c r="AG78" s="17" t="str">
        <f t="shared" ca="1" si="9"/>
        <v>HOLD</v>
      </c>
    </row>
    <row r="79" spans="1:33" ht="15" customHeight="1" x14ac:dyDescent="0.3">
      <c r="A79" s="13" t="s">
        <v>142</v>
      </c>
      <c r="B79" s="13" t="s">
        <v>118</v>
      </c>
      <c r="C79" s="13" t="s">
        <v>130</v>
      </c>
      <c r="D79" s="37" t="str">
        <f ca="1">IFERROR(ycps("PIMIX","price"),"")</f>
        <v/>
      </c>
      <c r="E79" s="20" t="str">
        <f ca="1">IFERROR(ycps("PIMIX","one_year_return"),"")</f>
        <v/>
      </c>
      <c r="F79" s="20" t="str">
        <f ca="1">IFERROR(ycps("PIMIX","three_year_annualized_return"),"")</f>
        <v/>
      </c>
      <c r="G79" s="20" t="str">
        <f ca="1">IFERROR(ycps("PIMIX","five_year_annualized_return"),"")</f>
        <v/>
      </c>
      <c r="H79" s="20" t="str">
        <f ca="1">IFERROR(ycps("PIMIX","one_year_volatility"),"")</f>
        <v/>
      </c>
      <c r="I79" s="20" t="str">
        <f ca="1">IFERROR(ycps("PIMIX","max_drawdown_3_year"),"")</f>
        <v/>
      </c>
      <c r="J79" s="38" t="str">
        <f ca="1">IFERROR(ycps("PIMIX","beta_5_year"),"")</f>
        <v/>
      </c>
      <c r="K79" s="39" t="str">
        <f ca="1">IFERROR(ycps("PIMIX","dividend_yield"),"")</f>
        <v/>
      </c>
      <c r="L79" s="45" t="s">
        <v>119</v>
      </c>
      <c r="M79" s="20" t="str">
        <f ca="1">IFERROR(ycps("PIMIX","one_month_return"),"")</f>
        <v/>
      </c>
      <c r="N79" s="20" t="str">
        <f ca="1">IFERROR(ycps("PIMIX","three_month_return"),"")</f>
        <v/>
      </c>
      <c r="O79" s="20" t="str">
        <f ca="1">IFERROR(ycps("PIMIX","six_month_return"),"")</f>
        <v/>
      </c>
      <c r="P79" s="20" t="str">
        <f ca="1">IFERROR(ycps("PIMIX","one_year_return"),"")</f>
        <v/>
      </c>
      <c r="Q79" s="41"/>
      <c r="R79" s="41"/>
      <c r="S79" s="15"/>
      <c r="T79" s="15"/>
      <c r="U79" s="15"/>
      <c r="V79" s="42" t="str">
        <f t="shared" ca="1" si="0"/>
        <v/>
      </c>
      <c r="W79" s="42" t="str">
        <f t="shared" ca="1" si="1"/>
        <v/>
      </c>
      <c r="X79" s="42" t="str">
        <f t="shared" ca="1" si="2"/>
        <v/>
      </c>
      <c r="Y79" s="42" t="str">
        <f t="shared" ca="1" si="3"/>
        <v/>
      </c>
      <c r="Z79" s="43">
        <f t="shared" ca="1" si="4"/>
        <v>0</v>
      </c>
      <c r="AA79" s="43">
        <f t="shared" ca="1" si="5"/>
        <v>0</v>
      </c>
      <c r="AB79" s="43">
        <f t="shared" ca="1" si="6"/>
        <v>0</v>
      </c>
      <c r="AC79" s="43">
        <f t="shared" ca="1" si="7"/>
        <v>0</v>
      </c>
      <c r="AD79" s="23">
        <v>0</v>
      </c>
      <c r="AE79" s="23">
        <v>0</v>
      </c>
      <c r="AF79" s="44">
        <f t="shared" si="8"/>
        <v>0</v>
      </c>
      <c r="AG79" s="17" t="str">
        <f t="shared" ca="1" si="9"/>
        <v>HOLD</v>
      </c>
    </row>
    <row r="80" spans="1:33" ht="15" customHeight="1" x14ac:dyDescent="0.3">
      <c r="A80" s="46" t="s">
        <v>143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47">
        <f>SUM(AD56:AD79)</f>
        <v>1.0000000000000002</v>
      </c>
      <c r="AE80" s="47">
        <f>SUM(AE56:AE79)</f>
        <v>1.0400000000000005</v>
      </c>
      <c r="AF80" s="11"/>
    </row>
    <row r="81" spans="1:32" ht="15" customHeight="1" x14ac:dyDescent="0.3">
      <c r="A81" s="46" t="s">
        <v>144</v>
      </c>
      <c r="B81" s="11"/>
      <c r="C81" s="11"/>
      <c r="D81" s="11"/>
      <c r="E81" s="27">
        <f ca="1">IFERROR(AVERAGEIF(E56:E79,"&lt;&gt;"&amp;""),0)</f>
        <v>0</v>
      </c>
      <c r="F81" s="11"/>
      <c r="G81" s="11"/>
      <c r="H81" s="27">
        <f ca="1">IFERROR(AVERAGEIF(H56:H79,"&lt;&gt;"&amp;""),0)</f>
        <v>0</v>
      </c>
      <c r="I81" s="11"/>
      <c r="J81" s="42">
        <f ca="1">IFERROR(AVERAGEIF(J56:J79,"&lt;&gt;"&amp;""),0)</f>
        <v>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42">
        <f ca="1">IFERROR(AVERAGEIF(V56:V79,"&lt;&gt;"&amp;""),0)</f>
        <v>0</v>
      </c>
      <c r="W81" s="11"/>
      <c r="X81" s="11"/>
      <c r="Y81" s="11"/>
      <c r="Z81" s="11"/>
      <c r="AA81" s="11"/>
      <c r="AB81" s="11"/>
      <c r="AC81" s="48">
        <f ca="1">IFERROR(AVERAGEIF(AC56:AC79,"&lt;&gt;"&amp;""),0)</f>
        <v>0</v>
      </c>
      <c r="AD81" s="11"/>
      <c r="AE81" s="11"/>
      <c r="AF81" s="11"/>
    </row>
    <row r="82" spans="1:32" ht="15" customHeight="1" x14ac:dyDescent="0.3">
      <c r="A82" s="46" t="s">
        <v>145</v>
      </c>
      <c r="B82" s="43">
        <f>COUNTIF(S56:S79,"BUY")</f>
        <v>0</v>
      </c>
      <c r="C82" s="46" t="s">
        <v>146</v>
      </c>
      <c r="D82" s="43">
        <f>COUNTIF(S56:S79,"HOLD")</f>
        <v>0</v>
      </c>
      <c r="E82" s="46" t="s">
        <v>147</v>
      </c>
      <c r="F82" s="43">
        <f>COUNTIF(S56:S79,"SELL")</f>
        <v>0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" customHeight="1" x14ac:dyDescent="0.3">
      <c r="A84" s="49" t="s">
        <v>148</v>
      </c>
      <c r="B84" s="47">
        <f ca="1">COUNTIF(AC56:AC79,"&gt;="&amp;60)/COUNTA(A56:A79)</f>
        <v>0</v>
      </c>
      <c r="C84" s="45" t="s">
        <v>149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" customHeight="1" x14ac:dyDescent="0.3">
      <c r="A85" s="11"/>
      <c r="B85" s="17" t="str">
        <f ca="1">IF(B84&gt;=$B$33,"FULLY INVESTED",IF(B84&gt;=$B$34,"CAUTION",IF(B84&gt;=$B$35,"DEFENSIVE","RISK OFF")))</f>
        <v>RISK OFF</v>
      </c>
      <c r="C85" s="45" t="s">
        <v>150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" customHeight="1" x14ac:dyDescent="0.3">
      <c r="A87" s="49" t="s">
        <v>151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" customHeight="1" x14ac:dyDescent="0.3">
      <c r="A88" s="46" t="s">
        <v>152</v>
      </c>
      <c r="B88" s="47">
        <f ca="1">COUNTIF(AC56:AC79,"&gt;="&amp;50)/COUNTA(A56:A79)</f>
        <v>0</v>
      </c>
      <c r="C88" s="17" t="str">
        <f ca="1">IF(B88&lt;$B$39,"⚠ TRIGGERED","OK")</f>
        <v>⚠ TRIGGERED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" customHeight="1" x14ac:dyDescent="0.3">
      <c r="A89" s="46" t="s">
        <v>153</v>
      </c>
      <c r="B89" s="47">
        <f ca="1">COUNTIF(AC56:AC79,"&gt;="&amp;70)/COUNTA(A56:A79)</f>
        <v>0</v>
      </c>
      <c r="C89" s="17" t="str">
        <f ca="1">IF(B89&lt;$B$40,"⚠ TRIGGERED","OK")</f>
        <v>⚠ TRIGGERED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" customHeight="1" x14ac:dyDescent="0.3">
      <c r="A90" s="46" t="s">
        <v>154</v>
      </c>
      <c r="B90" s="48">
        <f ca="1">AVERAGE(AC56:AC79)</f>
        <v>0</v>
      </c>
      <c r="C90" s="17" t="str">
        <f ca="1">IF(B90&lt;$B$41,"⚠ TRIGGERED","OK")</f>
        <v>⚠ TRIGGERED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" customHeight="1" x14ac:dyDescent="0.3">
      <c r="A91" s="46" t="s">
        <v>155</v>
      </c>
      <c r="B91" s="48">
        <f ca="1">AVERAGE(AC56:AC79)</f>
        <v>0</v>
      </c>
      <c r="C91" s="17" t="str">
        <f ca="1">IF(B91&lt;$B$42,"⚠ TRIGGERED","OK")</f>
        <v>⚠ TRIGGERED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" customHeight="1" x14ac:dyDescent="0.3">
      <c r="A92" s="46" t="s">
        <v>156</v>
      </c>
      <c r="B92" s="17" t="str">
        <f ca="1">IF(OR(C88="⚠ TRIGGERED",C89="⚠ TRIGGERED",C90="⚠ TRIGGERED",C91="⚠ TRIGGERED"),"⚠ CASH TRIGGER ACTIVE","ALL CLEAR")</f>
        <v>⚠ CASH TRIGGER ACTIVE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" customHeight="1" x14ac:dyDescent="0.3">
      <c r="A95" s="18" t="s">
        <v>157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" customHeight="1" x14ac:dyDescent="0.3">
      <c r="A96" s="7" t="s">
        <v>158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15" customHeight="1" x14ac:dyDescent="0.3">
      <c r="A98" s="7" t="s">
        <v>159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" customHeight="1" x14ac:dyDescent="0.3">
      <c r="A99" s="8" t="s">
        <v>160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15" customHeight="1" x14ac:dyDescent="0.3">
      <c r="A100" s="8" t="s">
        <v>161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15" customHeight="1" x14ac:dyDescent="0.3">
      <c r="A101" s="8" t="s">
        <v>162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15" customHeight="1" x14ac:dyDescent="0.3">
      <c r="A102" s="8" t="s">
        <v>163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1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15" customHeight="1" x14ac:dyDescent="0.3">
      <c r="A104" s="7" t="s">
        <v>164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" customHeight="1" x14ac:dyDescent="0.3">
      <c r="A105" s="8" t="s">
        <v>165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15" customHeight="1" x14ac:dyDescent="0.3">
      <c r="A106" s="8" t="s">
        <v>166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15" customHeight="1" x14ac:dyDescent="0.3">
      <c r="A107" s="8" t="s">
        <v>167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15" customHeight="1" x14ac:dyDescent="0.3">
      <c r="A108" s="8" t="s">
        <v>168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15" customHeight="1" x14ac:dyDescent="0.3">
      <c r="A109" s="8" t="s">
        <v>169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1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15" customHeight="1" x14ac:dyDescent="0.3">
      <c r="A111" s="7" t="s">
        <v>170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" customHeight="1" x14ac:dyDescent="0.3">
      <c r="A112" s="8" t="s">
        <v>171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15" customHeight="1" x14ac:dyDescent="0.3">
      <c r="A113" s="8" t="s">
        <v>172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1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15" customHeight="1" x14ac:dyDescent="0.3">
      <c r="A115" s="7" t="s">
        <v>173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" customHeight="1" x14ac:dyDescent="0.3">
      <c r="A116" s="8" t="s">
        <v>174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5" customHeight="1" x14ac:dyDescent="0.3">
      <c r="A117" s="8" t="s">
        <v>175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5" customHeight="1" x14ac:dyDescent="0.3">
      <c r="A118" s="8" t="s">
        <v>176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15" customHeight="1" x14ac:dyDescent="0.3">
      <c r="A120" s="7" t="s">
        <v>177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" customHeight="1" x14ac:dyDescent="0.3">
      <c r="A121" s="8" t="s">
        <v>178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15" customHeight="1" x14ac:dyDescent="0.3">
      <c r="A122" s="8" t="s">
        <v>179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15" customHeight="1" x14ac:dyDescent="0.3">
      <c r="A123" s="8" t="s">
        <v>180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15" customHeight="1" x14ac:dyDescent="0.3">
      <c r="A124" s="8" t="s">
        <v>181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5" customHeight="1" x14ac:dyDescent="0.3">
      <c r="A125" s="8" t="s">
        <v>182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8" spans="1:32" ht="15" customHeight="1" x14ac:dyDescent="0.3">
      <c r="A128" s="50" t="s">
        <v>183</v>
      </c>
    </row>
    <row r="129" spans="1:32" ht="15" customHeight="1" x14ac:dyDescent="0.3">
      <c r="A129" s="8" t="s">
        <v>184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1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15" customHeight="1" x14ac:dyDescent="0.3">
      <c r="A131" s="6" t="s">
        <v>185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ht="15" customHeight="1" x14ac:dyDescent="0.3">
      <c r="A132" s="6" t="s">
        <v>186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ht="15" customHeight="1" x14ac:dyDescent="0.3">
      <c r="A133" s="8" t="s">
        <v>187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1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15" customHeight="1" x14ac:dyDescent="0.3">
      <c r="A135" s="6" t="s">
        <v>188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ht="15" customHeight="1" x14ac:dyDescent="0.3">
      <c r="A136" s="8" t="s">
        <v>189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15" customHeight="1" x14ac:dyDescent="0.3">
      <c r="A137" s="8" t="s">
        <v>190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ht="15" customHeight="1" x14ac:dyDescent="0.3">
      <c r="A138" s="8" t="s">
        <v>191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ht="1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ht="15" customHeight="1" x14ac:dyDescent="0.3">
      <c r="A140" s="6" t="s">
        <v>192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ht="15" customHeight="1" x14ac:dyDescent="0.3">
      <c r="A141" s="8" t="s">
        <v>193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ht="15" customHeight="1" x14ac:dyDescent="0.3">
      <c r="A142" s="8" t="s">
        <v>194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ht="15" customHeight="1" x14ac:dyDescent="0.3">
      <c r="A143" s="8" t="s">
        <v>195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</sheetData>
  <autoFilter ref="A54:AG79" xr:uid="{00000000-0009-0000-0000-000000000000}"/>
  <mergeCells count="47">
    <mergeCell ref="A142:AF142"/>
    <mergeCell ref="A143:AF143"/>
    <mergeCell ref="A137:AF137"/>
    <mergeCell ref="A138:AF138"/>
    <mergeCell ref="A139:AF139"/>
    <mergeCell ref="A140:AF140"/>
    <mergeCell ref="A141:AF141"/>
    <mergeCell ref="A132:AF132"/>
    <mergeCell ref="A133:AF133"/>
    <mergeCell ref="A134:AF134"/>
    <mergeCell ref="A135:AF135"/>
    <mergeCell ref="A136:AF136"/>
    <mergeCell ref="A124:AF124"/>
    <mergeCell ref="A125:AF125"/>
    <mergeCell ref="A129:AF129"/>
    <mergeCell ref="A130:AF130"/>
    <mergeCell ref="A131:AF131"/>
    <mergeCell ref="A119:AF119"/>
    <mergeCell ref="A120:AF120"/>
    <mergeCell ref="A121:AF121"/>
    <mergeCell ref="A122:AF122"/>
    <mergeCell ref="A123:AF123"/>
    <mergeCell ref="A114:AF114"/>
    <mergeCell ref="A115:AF115"/>
    <mergeCell ref="A116:AF116"/>
    <mergeCell ref="A117:AF117"/>
    <mergeCell ref="A118:AF118"/>
    <mergeCell ref="A109:AF109"/>
    <mergeCell ref="A110:AF110"/>
    <mergeCell ref="A111:AF111"/>
    <mergeCell ref="A112:AF112"/>
    <mergeCell ref="A113:AF113"/>
    <mergeCell ref="A104:AF104"/>
    <mergeCell ref="A105:AF105"/>
    <mergeCell ref="A106:AF106"/>
    <mergeCell ref="A107:AF107"/>
    <mergeCell ref="A108:AF108"/>
    <mergeCell ref="A99:AF99"/>
    <mergeCell ref="A100:AF100"/>
    <mergeCell ref="A101:AF101"/>
    <mergeCell ref="A102:AF102"/>
    <mergeCell ref="A103:AF103"/>
    <mergeCell ref="A1:V1"/>
    <mergeCell ref="A53:AF53"/>
    <mergeCell ref="A96:AF96"/>
    <mergeCell ref="A97:AF97"/>
    <mergeCell ref="A98:AF9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V40"/>
  <sheetViews>
    <sheetView zoomScaleNormal="100" workbookViewId="0"/>
  </sheetViews>
  <sheetFormatPr defaultColWidth="8.6640625" defaultRowHeight="14.4" x14ac:dyDescent="0.3"/>
  <cols>
    <col min="1" max="2" width="7" customWidth="1"/>
    <col min="3" max="3" width="5" customWidth="1"/>
    <col min="4" max="5" width="9" customWidth="1"/>
    <col min="6" max="7" width="8" customWidth="1"/>
    <col min="8" max="8" width="6" customWidth="1"/>
    <col min="9" max="13" width="8" customWidth="1"/>
    <col min="14" max="15" width="9" customWidth="1"/>
    <col min="16" max="16" width="8" customWidth="1"/>
    <col min="17" max="18" width="9" customWidth="1"/>
    <col min="19" max="19" width="8" customWidth="1"/>
    <col min="20" max="20" width="11" customWidth="1"/>
  </cols>
  <sheetData>
    <row r="1" spans="1:22" ht="17.25" customHeight="1" x14ac:dyDescent="0.3">
      <c r="A1" s="10" t="s">
        <v>196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5" customHeight="1" x14ac:dyDescent="0.3">
      <c r="A3" s="32" t="s">
        <v>72</v>
      </c>
      <c r="B3" s="32" t="s">
        <v>73</v>
      </c>
      <c r="C3" s="32" t="s">
        <v>74</v>
      </c>
      <c r="D3" s="32" t="s">
        <v>197</v>
      </c>
      <c r="E3" s="32" t="s">
        <v>79</v>
      </c>
      <c r="F3" s="32" t="s">
        <v>93</v>
      </c>
      <c r="G3" s="32" t="s">
        <v>94</v>
      </c>
      <c r="H3" s="32" t="s">
        <v>198</v>
      </c>
      <c r="I3" s="32" t="s">
        <v>199</v>
      </c>
      <c r="J3" s="32" t="s">
        <v>200</v>
      </c>
      <c r="K3" s="32" t="s">
        <v>201</v>
      </c>
      <c r="L3" s="32" t="s">
        <v>202</v>
      </c>
      <c r="M3" s="32" t="s">
        <v>203</v>
      </c>
      <c r="N3" s="32" t="s">
        <v>204</v>
      </c>
      <c r="O3" s="32" t="s">
        <v>90</v>
      </c>
      <c r="P3" s="32" t="s">
        <v>205</v>
      </c>
      <c r="Q3" s="32" t="s">
        <v>101</v>
      </c>
      <c r="R3" s="32" t="s">
        <v>102</v>
      </c>
      <c r="S3" s="32" t="s">
        <v>103</v>
      </c>
      <c r="T3" s="32" t="s">
        <v>104</v>
      </c>
      <c r="U3" s="11"/>
      <c r="V3" s="11"/>
    </row>
    <row r="4" spans="1:22" ht="15" customHeight="1" x14ac:dyDescent="0.3">
      <c r="A4" s="51" t="str">
        <f>'Data Input'!A56</f>
        <v>SPY</v>
      </c>
      <c r="B4" s="51" t="str">
        <f>'Data Input'!B56</f>
        <v>US Eq</v>
      </c>
      <c r="C4" s="51" t="str">
        <f>'Data Input'!C56</f>
        <v>ETF</v>
      </c>
      <c r="D4" s="52" t="str">
        <f ca="1">IFERROR('Data Input'!E56,0)</f>
        <v/>
      </c>
      <c r="E4" s="52" t="str">
        <f ca="1">IFERROR('Data Input'!H56,0)</f>
        <v/>
      </c>
      <c r="F4" s="53" t="str">
        <f ca="1">IFERROR('Data Input'!V56,0)</f>
        <v/>
      </c>
      <c r="G4" s="53" t="str">
        <f ca="1">IFERROR('Data Input'!W56,0)</f>
        <v/>
      </c>
      <c r="H4" s="54" t="str">
        <f ca="1">IFERROR('Data Input'!J56,0)</f>
        <v/>
      </c>
      <c r="I4" s="52" t="str">
        <f ca="1">IFERROR('Data Input'!I56,0)</f>
        <v/>
      </c>
      <c r="J4" s="52" t="str">
        <f ca="1">IFERROR('Data Input'!M56,0)</f>
        <v/>
      </c>
      <c r="K4" s="52" t="str">
        <f ca="1">IFERROR('Data Input'!N56,0)</f>
        <v/>
      </c>
      <c r="L4" s="52" t="str">
        <f ca="1">IFERROR('Data Input'!O56,0)</f>
        <v/>
      </c>
      <c r="M4" s="52" t="str">
        <f ca="1">IFERROR('Data Input'!P56,0)</f>
        <v/>
      </c>
      <c r="N4" s="43">
        <f ca="1">IFERROR(IF('Data Input'!Q56&lt;&gt;"",'Data Input'!Q56,MIN(100,MAX(0,ROUND(50+(J4*0.4+K4*0.3+L4*0.2+M4*0.1)*200,0)))),0)</f>
        <v>0</v>
      </c>
      <c r="O4" s="17" t="str">
        <f ca="1">IF('Data Input'!S56&lt;&gt;"",'Data Input'!S56,IF(N4&gt;=70,"BUY",IF(N4&gt;=50,"HOLD","SELL")))</f>
        <v>SELL</v>
      </c>
      <c r="P4" s="43">
        <f t="shared" ref="P4:P27" ca="1" si="0">RANK(N4,N$4:N$27,0)</f>
        <v>1</v>
      </c>
      <c r="Q4" s="55">
        <f>'Data Input'!AD56</f>
        <v>0.08</v>
      </c>
      <c r="R4" s="55">
        <f>'Data Input'!AE56</f>
        <v>0.09</v>
      </c>
      <c r="S4" s="44">
        <f t="shared" ref="S4:S27" si="1">R4-Q4</f>
        <v>9.999999999999995E-3</v>
      </c>
      <c r="T4" s="17" t="str">
        <f ca="1">IF(ABS(S4)&gt;'Data Input'!$B$9,"REBALANCE",IF(AND(O4="BUY",S4&lt;0),"ADD",IF(AND(O4="SELL",S4&gt;0),"TRIM","HOLD")))</f>
        <v>TRIM</v>
      </c>
      <c r="U4" s="11"/>
      <c r="V4" s="11"/>
    </row>
    <row r="5" spans="1:22" ht="15" customHeight="1" x14ac:dyDescent="0.3">
      <c r="A5" s="51" t="str">
        <f>'Data Input'!A57</f>
        <v>QQQ</v>
      </c>
      <c r="B5" s="51" t="str">
        <f>'Data Input'!B57</f>
        <v>US Eq</v>
      </c>
      <c r="C5" s="51" t="str">
        <f>'Data Input'!C57</f>
        <v>ETF</v>
      </c>
      <c r="D5" s="52" t="str">
        <f ca="1">IFERROR('Data Input'!E57,0)</f>
        <v/>
      </c>
      <c r="E5" s="52" t="str">
        <f ca="1">IFERROR('Data Input'!H57,0)</f>
        <v/>
      </c>
      <c r="F5" s="53" t="str">
        <f ca="1">IFERROR('Data Input'!V57,0)</f>
        <v/>
      </c>
      <c r="G5" s="53" t="str">
        <f ca="1">IFERROR('Data Input'!W57,0)</f>
        <v/>
      </c>
      <c r="H5" s="54" t="str">
        <f ca="1">IFERROR('Data Input'!J57,0)</f>
        <v/>
      </c>
      <c r="I5" s="52" t="str">
        <f ca="1">IFERROR('Data Input'!I57,0)</f>
        <v/>
      </c>
      <c r="J5" s="52" t="str">
        <f ca="1">IFERROR('Data Input'!M57,0)</f>
        <v/>
      </c>
      <c r="K5" s="52" t="str">
        <f ca="1">IFERROR('Data Input'!N57,0)</f>
        <v/>
      </c>
      <c r="L5" s="52" t="str">
        <f ca="1">IFERROR('Data Input'!O57,0)</f>
        <v/>
      </c>
      <c r="M5" s="52" t="str">
        <f ca="1">IFERROR('Data Input'!P57,0)</f>
        <v/>
      </c>
      <c r="N5" s="43">
        <f ca="1">IFERROR(IF('Data Input'!Q57&lt;&gt;"",'Data Input'!Q57,MIN(100,MAX(0,ROUND(50+(J5*0.4+K5*0.3+L5*0.2+M5*0.1)*200,0)))),0)</f>
        <v>0</v>
      </c>
      <c r="O5" s="17" t="str">
        <f ca="1">IF('Data Input'!S57&lt;&gt;"",'Data Input'!S57,IF(N5&gt;=70,"BUY",IF(N5&gt;=50,"HOLD","SELL")))</f>
        <v>SELL</v>
      </c>
      <c r="P5" s="43">
        <f t="shared" ca="1" si="0"/>
        <v>1</v>
      </c>
      <c r="Q5" s="55">
        <f>'Data Input'!AD57</f>
        <v>7.0000000000000007E-2</v>
      </c>
      <c r="R5" s="55">
        <f>'Data Input'!AE57</f>
        <v>6.5000000000000002E-2</v>
      </c>
      <c r="S5" s="44">
        <f t="shared" si="1"/>
        <v>-5.0000000000000044E-3</v>
      </c>
      <c r="T5" s="17" t="str">
        <f ca="1">IF(ABS(S5)&gt;'Data Input'!$B$9,"REBALANCE",IF(AND(O5="BUY",S5&lt;0),"ADD",IF(AND(O5="SELL",S5&gt;0),"TRIM","HOLD")))</f>
        <v>HOLD</v>
      </c>
      <c r="U5" s="11"/>
      <c r="V5" s="11"/>
    </row>
    <row r="6" spans="1:22" ht="15" customHeight="1" x14ac:dyDescent="0.3">
      <c r="A6" s="51" t="str">
        <f>'Data Input'!A58</f>
        <v>IWM</v>
      </c>
      <c r="B6" s="51" t="str">
        <f>'Data Input'!B58</f>
        <v>US Eq</v>
      </c>
      <c r="C6" s="51" t="str">
        <f>'Data Input'!C58</f>
        <v>ETF</v>
      </c>
      <c r="D6" s="52" t="str">
        <f ca="1">IFERROR('Data Input'!E58,0)</f>
        <v/>
      </c>
      <c r="E6" s="52" t="str">
        <f ca="1">IFERROR('Data Input'!H58,0)</f>
        <v/>
      </c>
      <c r="F6" s="53" t="str">
        <f ca="1">IFERROR('Data Input'!V58,0)</f>
        <v/>
      </c>
      <c r="G6" s="53" t="str">
        <f ca="1">IFERROR('Data Input'!W58,0)</f>
        <v/>
      </c>
      <c r="H6" s="54" t="str">
        <f ca="1">IFERROR('Data Input'!J58,0)</f>
        <v/>
      </c>
      <c r="I6" s="52" t="str">
        <f ca="1">IFERROR('Data Input'!I58,0)</f>
        <v/>
      </c>
      <c r="J6" s="52" t="str">
        <f ca="1">IFERROR('Data Input'!M58,0)</f>
        <v/>
      </c>
      <c r="K6" s="52" t="str">
        <f ca="1">IFERROR('Data Input'!N58,0)</f>
        <v/>
      </c>
      <c r="L6" s="52" t="str">
        <f ca="1">IFERROR('Data Input'!O58,0)</f>
        <v/>
      </c>
      <c r="M6" s="52" t="str">
        <f ca="1">IFERROR('Data Input'!P58,0)</f>
        <v/>
      </c>
      <c r="N6" s="43">
        <f ca="1">IFERROR(IF('Data Input'!Q58&lt;&gt;"",'Data Input'!Q58,MIN(100,MAX(0,ROUND(50+(J6*0.4+K6*0.3+L6*0.2+M6*0.1)*200,0)))),0)</f>
        <v>0</v>
      </c>
      <c r="O6" s="17" t="str">
        <f ca="1">IF('Data Input'!S58&lt;&gt;"",'Data Input'!S58,IF(N6&gt;=70,"BUY",IF(N6&gt;=50,"HOLD","SELL")))</f>
        <v>SELL</v>
      </c>
      <c r="P6" s="43">
        <f t="shared" ca="1" si="0"/>
        <v>1</v>
      </c>
      <c r="Q6" s="55">
        <f>'Data Input'!AD58</f>
        <v>0.04</v>
      </c>
      <c r="R6" s="55">
        <f>'Data Input'!AE58</f>
        <v>0.04</v>
      </c>
      <c r="S6" s="44">
        <f t="shared" si="1"/>
        <v>0</v>
      </c>
      <c r="T6" s="17" t="str">
        <f ca="1">IF(ABS(S6)&gt;'Data Input'!$B$9,"REBALANCE",IF(AND(O6="BUY",S6&lt;0),"ADD",IF(AND(O6="SELL",S6&gt;0),"TRIM","HOLD")))</f>
        <v>HOLD</v>
      </c>
      <c r="U6" s="11"/>
      <c r="V6" s="11"/>
    </row>
    <row r="7" spans="1:22" ht="15" customHeight="1" x14ac:dyDescent="0.3">
      <c r="A7" s="51" t="str">
        <f>'Data Input'!A59</f>
        <v>EFA</v>
      </c>
      <c r="B7" s="51" t="str">
        <f>'Data Input'!B59</f>
        <v>Intl</v>
      </c>
      <c r="C7" s="51" t="str">
        <f>'Data Input'!C59</f>
        <v>ETF</v>
      </c>
      <c r="D7" s="52" t="str">
        <f ca="1">IFERROR('Data Input'!E59,0)</f>
        <v/>
      </c>
      <c r="E7" s="52" t="str">
        <f ca="1">IFERROR('Data Input'!H59,0)</f>
        <v/>
      </c>
      <c r="F7" s="53" t="str">
        <f ca="1">IFERROR('Data Input'!V59,0)</f>
        <v/>
      </c>
      <c r="G7" s="53" t="str">
        <f ca="1">IFERROR('Data Input'!W59,0)</f>
        <v/>
      </c>
      <c r="H7" s="54" t="str">
        <f ca="1">IFERROR('Data Input'!J59,0)</f>
        <v/>
      </c>
      <c r="I7" s="52" t="str">
        <f ca="1">IFERROR('Data Input'!I59,0)</f>
        <v/>
      </c>
      <c r="J7" s="52" t="str">
        <f ca="1">IFERROR('Data Input'!M59,0)</f>
        <v/>
      </c>
      <c r="K7" s="52" t="str">
        <f ca="1">IFERROR('Data Input'!N59,0)</f>
        <v/>
      </c>
      <c r="L7" s="52" t="str">
        <f ca="1">IFERROR('Data Input'!O59,0)</f>
        <v/>
      </c>
      <c r="M7" s="52" t="str">
        <f ca="1">IFERROR('Data Input'!P59,0)</f>
        <v/>
      </c>
      <c r="N7" s="43">
        <f ca="1">IFERROR(IF('Data Input'!Q59&lt;&gt;"",'Data Input'!Q59,MIN(100,MAX(0,ROUND(50+(J7*0.4+K7*0.3+L7*0.2+M7*0.1)*200,0)))),0)</f>
        <v>0</v>
      </c>
      <c r="O7" s="17" t="str">
        <f ca="1">IF('Data Input'!S59&lt;&gt;"",'Data Input'!S59,IF(N7&gt;=70,"BUY",IF(N7&gt;=50,"HOLD","SELL")))</f>
        <v>SELL</v>
      </c>
      <c r="P7" s="43">
        <f t="shared" ca="1" si="0"/>
        <v>1</v>
      </c>
      <c r="Q7" s="55">
        <f>'Data Input'!AD59</f>
        <v>0.05</v>
      </c>
      <c r="R7" s="55">
        <f>'Data Input'!AE59</f>
        <v>0.06</v>
      </c>
      <c r="S7" s="44">
        <f t="shared" si="1"/>
        <v>9.999999999999995E-3</v>
      </c>
      <c r="T7" s="17" t="str">
        <f ca="1">IF(ABS(S7)&gt;'Data Input'!$B$9,"REBALANCE",IF(AND(O7="BUY",S7&lt;0),"ADD",IF(AND(O7="SELL",S7&gt;0),"TRIM","HOLD")))</f>
        <v>TRIM</v>
      </c>
      <c r="U7" s="11"/>
      <c r="V7" s="11"/>
    </row>
    <row r="8" spans="1:22" ht="15" customHeight="1" x14ac:dyDescent="0.3">
      <c r="A8" s="51" t="str">
        <f>'Data Input'!A60</f>
        <v>EEM</v>
      </c>
      <c r="B8" s="51" t="str">
        <f>'Data Input'!B60</f>
        <v>Intl</v>
      </c>
      <c r="C8" s="51" t="str">
        <f>'Data Input'!C60</f>
        <v>ETF</v>
      </c>
      <c r="D8" s="52" t="str">
        <f ca="1">IFERROR('Data Input'!E60,0)</f>
        <v/>
      </c>
      <c r="E8" s="52" t="str">
        <f ca="1">IFERROR('Data Input'!H60,0)</f>
        <v/>
      </c>
      <c r="F8" s="53" t="str">
        <f ca="1">IFERROR('Data Input'!V60,0)</f>
        <v/>
      </c>
      <c r="G8" s="53" t="str">
        <f ca="1">IFERROR('Data Input'!W60,0)</f>
        <v/>
      </c>
      <c r="H8" s="54" t="str">
        <f ca="1">IFERROR('Data Input'!J60,0)</f>
        <v/>
      </c>
      <c r="I8" s="52" t="str">
        <f ca="1">IFERROR('Data Input'!I60,0)</f>
        <v/>
      </c>
      <c r="J8" s="52" t="str">
        <f ca="1">IFERROR('Data Input'!M60,0)</f>
        <v/>
      </c>
      <c r="K8" s="52" t="str">
        <f ca="1">IFERROR('Data Input'!N60,0)</f>
        <v/>
      </c>
      <c r="L8" s="52" t="str">
        <f ca="1">IFERROR('Data Input'!O60,0)</f>
        <v/>
      </c>
      <c r="M8" s="52" t="str">
        <f ca="1">IFERROR('Data Input'!P60,0)</f>
        <v/>
      </c>
      <c r="N8" s="43">
        <f ca="1">IFERROR(IF('Data Input'!Q60&lt;&gt;"",'Data Input'!Q60,MIN(100,MAX(0,ROUND(50+(J8*0.4+K8*0.3+L8*0.2+M8*0.1)*200,0)))),0)</f>
        <v>0</v>
      </c>
      <c r="O8" s="17" t="str">
        <f ca="1">IF('Data Input'!S60&lt;&gt;"",'Data Input'!S60,IF(N8&gt;=70,"BUY",IF(N8&gt;=50,"HOLD","SELL")))</f>
        <v>SELL</v>
      </c>
      <c r="P8" s="43">
        <f t="shared" ca="1" si="0"/>
        <v>1</v>
      </c>
      <c r="Q8" s="55">
        <f>'Data Input'!AD60</f>
        <v>0.03</v>
      </c>
      <c r="R8" s="55">
        <f>'Data Input'!AE60</f>
        <v>2.5000000000000001E-2</v>
      </c>
      <c r="S8" s="44">
        <f t="shared" si="1"/>
        <v>-4.9999999999999975E-3</v>
      </c>
      <c r="T8" s="17" t="str">
        <f ca="1">IF(ABS(S8)&gt;'Data Input'!$B$9,"REBALANCE",IF(AND(O8="BUY",S8&lt;0),"ADD",IF(AND(O8="SELL",S8&gt;0),"TRIM","HOLD")))</f>
        <v>HOLD</v>
      </c>
      <c r="U8" s="11"/>
      <c r="V8" s="11"/>
    </row>
    <row r="9" spans="1:22" ht="15" customHeight="1" x14ac:dyDescent="0.3">
      <c r="A9" s="51" t="str">
        <f>'Data Input'!A61</f>
        <v>AGG</v>
      </c>
      <c r="B9" s="51" t="str">
        <f>'Data Input'!B61</f>
        <v>Bond</v>
      </c>
      <c r="C9" s="51" t="str">
        <f>'Data Input'!C61</f>
        <v>ETF</v>
      </c>
      <c r="D9" s="52" t="str">
        <f ca="1">IFERROR('Data Input'!E61,0)</f>
        <v/>
      </c>
      <c r="E9" s="52" t="str">
        <f ca="1">IFERROR('Data Input'!H61,0)</f>
        <v/>
      </c>
      <c r="F9" s="53" t="str">
        <f ca="1">IFERROR('Data Input'!V61,0)</f>
        <v/>
      </c>
      <c r="G9" s="53" t="str">
        <f ca="1">IFERROR('Data Input'!W61,0)</f>
        <v/>
      </c>
      <c r="H9" s="54" t="str">
        <f ca="1">IFERROR('Data Input'!J61,0)</f>
        <v/>
      </c>
      <c r="I9" s="52" t="str">
        <f ca="1">IFERROR('Data Input'!I61,0)</f>
        <v/>
      </c>
      <c r="J9" s="52" t="str">
        <f ca="1">IFERROR('Data Input'!M61,0)</f>
        <v/>
      </c>
      <c r="K9" s="52" t="str">
        <f ca="1">IFERROR('Data Input'!N61,0)</f>
        <v/>
      </c>
      <c r="L9" s="52" t="str">
        <f ca="1">IFERROR('Data Input'!O61,0)</f>
        <v/>
      </c>
      <c r="M9" s="52" t="str">
        <f ca="1">IFERROR('Data Input'!P61,0)</f>
        <v/>
      </c>
      <c r="N9" s="43">
        <f ca="1">IFERROR(IF('Data Input'!Q61&lt;&gt;"",'Data Input'!Q61,MIN(100,MAX(0,ROUND(50+(J9*0.4+K9*0.3+L9*0.2+M9*0.1)*200,0)))),0)</f>
        <v>0</v>
      </c>
      <c r="O9" s="17" t="str">
        <f ca="1">IF('Data Input'!S61&lt;&gt;"",'Data Input'!S61,IF(N9&gt;=70,"BUY",IF(N9&gt;=50,"HOLD","SELL")))</f>
        <v>SELL</v>
      </c>
      <c r="P9" s="43">
        <f t="shared" ca="1" si="0"/>
        <v>1</v>
      </c>
      <c r="Q9" s="55">
        <f>'Data Input'!AD61</f>
        <v>0.1</v>
      </c>
      <c r="R9" s="55">
        <f>'Data Input'!AE61</f>
        <v>0.1</v>
      </c>
      <c r="S9" s="44">
        <f t="shared" si="1"/>
        <v>0</v>
      </c>
      <c r="T9" s="17" t="str">
        <f ca="1">IF(ABS(S9)&gt;'Data Input'!$B$9,"REBALANCE",IF(AND(O9="BUY",S9&lt;0),"ADD",IF(AND(O9="SELL",S9&gt;0),"TRIM","HOLD")))</f>
        <v>HOLD</v>
      </c>
      <c r="U9" s="11"/>
      <c r="V9" s="11"/>
    </row>
    <row r="10" spans="1:22" ht="15" customHeight="1" x14ac:dyDescent="0.3">
      <c r="A10" s="51" t="str">
        <f>'Data Input'!A62</f>
        <v>TLT</v>
      </c>
      <c r="B10" s="51" t="str">
        <f>'Data Input'!B62</f>
        <v>Bond</v>
      </c>
      <c r="C10" s="51" t="str">
        <f>'Data Input'!C62</f>
        <v>ETF</v>
      </c>
      <c r="D10" s="52" t="str">
        <f ca="1">IFERROR('Data Input'!E62,0)</f>
        <v/>
      </c>
      <c r="E10" s="52" t="str">
        <f ca="1">IFERROR('Data Input'!H62,0)</f>
        <v/>
      </c>
      <c r="F10" s="53" t="str">
        <f ca="1">IFERROR('Data Input'!V62,0)</f>
        <v/>
      </c>
      <c r="G10" s="53" t="str">
        <f ca="1">IFERROR('Data Input'!W62,0)</f>
        <v/>
      </c>
      <c r="H10" s="54" t="str">
        <f ca="1">IFERROR('Data Input'!J62,0)</f>
        <v/>
      </c>
      <c r="I10" s="52" t="str">
        <f ca="1">IFERROR('Data Input'!I62,0)</f>
        <v/>
      </c>
      <c r="J10" s="52" t="str">
        <f ca="1">IFERROR('Data Input'!M62,0)</f>
        <v/>
      </c>
      <c r="K10" s="52" t="str">
        <f ca="1">IFERROR('Data Input'!N62,0)</f>
        <v/>
      </c>
      <c r="L10" s="52" t="str">
        <f ca="1">IFERROR('Data Input'!O62,0)</f>
        <v/>
      </c>
      <c r="M10" s="52" t="str">
        <f ca="1">IFERROR('Data Input'!P62,0)</f>
        <v/>
      </c>
      <c r="N10" s="43">
        <f ca="1">IFERROR(IF('Data Input'!Q62&lt;&gt;"",'Data Input'!Q62,MIN(100,MAX(0,ROUND(50+(J10*0.4+K10*0.3+L10*0.2+M10*0.1)*200,0)))),0)</f>
        <v>0</v>
      </c>
      <c r="O10" s="17" t="str">
        <f ca="1">IF('Data Input'!S62&lt;&gt;"",'Data Input'!S62,IF(N10&gt;=70,"BUY",IF(N10&gt;=50,"HOLD","SELL")))</f>
        <v>SELL</v>
      </c>
      <c r="P10" s="43">
        <f t="shared" ca="1" si="0"/>
        <v>1</v>
      </c>
      <c r="Q10" s="55">
        <f>'Data Input'!AD62</f>
        <v>0.05</v>
      </c>
      <c r="R10" s="55">
        <f>'Data Input'!AE62</f>
        <v>0.06</v>
      </c>
      <c r="S10" s="44">
        <f t="shared" si="1"/>
        <v>9.999999999999995E-3</v>
      </c>
      <c r="T10" s="17" t="str">
        <f ca="1">IF(ABS(S10)&gt;'Data Input'!$B$9,"REBALANCE",IF(AND(O10="BUY",S10&lt;0),"ADD",IF(AND(O10="SELL",S10&gt;0),"TRIM","HOLD")))</f>
        <v>TRIM</v>
      </c>
      <c r="U10" s="11"/>
      <c r="V10" s="11"/>
    </row>
    <row r="11" spans="1:22" ht="15" customHeight="1" x14ac:dyDescent="0.3">
      <c r="A11" s="51" t="str">
        <f>'Data Input'!A63</f>
        <v>GLD</v>
      </c>
      <c r="B11" s="51" t="str">
        <f>'Data Input'!B63</f>
        <v>Alt</v>
      </c>
      <c r="C11" s="51" t="str">
        <f>'Data Input'!C63</f>
        <v>ETF</v>
      </c>
      <c r="D11" s="52" t="str">
        <f ca="1">IFERROR('Data Input'!E63,0)</f>
        <v/>
      </c>
      <c r="E11" s="52" t="str">
        <f ca="1">IFERROR('Data Input'!H63,0)</f>
        <v/>
      </c>
      <c r="F11" s="53" t="str">
        <f ca="1">IFERROR('Data Input'!V63,0)</f>
        <v/>
      </c>
      <c r="G11" s="53" t="str">
        <f ca="1">IFERROR('Data Input'!W63,0)</f>
        <v/>
      </c>
      <c r="H11" s="54" t="str">
        <f ca="1">IFERROR('Data Input'!J63,0)</f>
        <v/>
      </c>
      <c r="I11" s="52" t="str">
        <f ca="1">IFERROR('Data Input'!I63,0)</f>
        <v/>
      </c>
      <c r="J11" s="52" t="str">
        <f ca="1">IFERROR('Data Input'!M63,0)</f>
        <v/>
      </c>
      <c r="K11" s="52" t="str">
        <f ca="1">IFERROR('Data Input'!N63,0)</f>
        <v/>
      </c>
      <c r="L11" s="52" t="str">
        <f ca="1">IFERROR('Data Input'!O63,0)</f>
        <v/>
      </c>
      <c r="M11" s="52" t="str">
        <f ca="1">IFERROR('Data Input'!P63,0)</f>
        <v/>
      </c>
      <c r="N11" s="43">
        <f ca="1">IFERROR(IF('Data Input'!Q63&lt;&gt;"",'Data Input'!Q63,MIN(100,MAX(0,ROUND(50+(J11*0.4+K11*0.3+L11*0.2+M11*0.1)*200,0)))),0)</f>
        <v>0</v>
      </c>
      <c r="O11" s="17" t="str">
        <f ca="1">IF('Data Input'!S63&lt;&gt;"",'Data Input'!S63,IF(N11&gt;=70,"BUY",IF(N11&gt;=50,"HOLD","SELL")))</f>
        <v>SELL</v>
      </c>
      <c r="P11" s="43">
        <f t="shared" ca="1" si="0"/>
        <v>1</v>
      </c>
      <c r="Q11" s="55">
        <f>'Data Input'!AD63</f>
        <v>0.08</v>
      </c>
      <c r="R11" s="55">
        <f>'Data Input'!AE63</f>
        <v>7.4999999999999997E-2</v>
      </c>
      <c r="S11" s="44">
        <f t="shared" si="1"/>
        <v>-5.0000000000000044E-3</v>
      </c>
      <c r="T11" s="17" t="str">
        <f ca="1">IF(ABS(S11)&gt;'Data Input'!$B$9,"REBALANCE",IF(AND(O11="BUY",S11&lt;0),"ADD",IF(AND(O11="SELL",S11&gt;0),"TRIM","HOLD")))</f>
        <v>HOLD</v>
      </c>
      <c r="U11" s="11"/>
      <c r="V11" s="11"/>
    </row>
    <row r="12" spans="1:22" ht="15" customHeight="1" x14ac:dyDescent="0.3">
      <c r="A12" s="51" t="str">
        <f>'Data Input'!A64</f>
        <v>VNQ</v>
      </c>
      <c r="B12" s="51" t="str">
        <f>'Data Input'!B64</f>
        <v>REIT</v>
      </c>
      <c r="C12" s="51" t="str">
        <f>'Data Input'!C64</f>
        <v>ETF</v>
      </c>
      <c r="D12" s="52" t="str">
        <f ca="1">IFERROR('Data Input'!E64,0)</f>
        <v/>
      </c>
      <c r="E12" s="52" t="str">
        <f ca="1">IFERROR('Data Input'!H64,0)</f>
        <v/>
      </c>
      <c r="F12" s="53" t="str">
        <f ca="1">IFERROR('Data Input'!V64,0)</f>
        <v/>
      </c>
      <c r="G12" s="53" t="str">
        <f ca="1">IFERROR('Data Input'!W64,0)</f>
        <v/>
      </c>
      <c r="H12" s="54" t="str">
        <f ca="1">IFERROR('Data Input'!J64,0)</f>
        <v/>
      </c>
      <c r="I12" s="52" t="str">
        <f ca="1">IFERROR('Data Input'!I64,0)</f>
        <v/>
      </c>
      <c r="J12" s="52" t="str">
        <f ca="1">IFERROR('Data Input'!M64,0)</f>
        <v/>
      </c>
      <c r="K12" s="52" t="str">
        <f ca="1">IFERROR('Data Input'!N64,0)</f>
        <v/>
      </c>
      <c r="L12" s="52" t="str">
        <f ca="1">IFERROR('Data Input'!O64,0)</f>
        <v/>
      </c>
      <c r="M12" s="52" t="str">
        <f ca="1">IFERROR('Data Input'!P64,0)</f>
        <v/>
      </c>
      <c r="N12" s="43">
        <f ca="1">IFERROR(IF('Data Input'!Q64&lt;&gt;"",'Data Input'!Q64,MIN(100,MAX(0,ROUND(50+(J12*0.4+K12*0.3+L12*0.2+M12*0.1)*200,0)))),0)</f>
        <v>0</v>
      </c>
      <c r="O12" s="17" t="str">
        <f ca="1">IF('Data Input'!S64&lt;&gt;"",'Data Input'!S64,IF(N12&gt;=70,"BUY",IF(N12&gt;=50,"HOLD","SELL")))</f>
        <v>SELL</v>
      </c>
      <c r="P12" s="43">
        <f t="shared" ca="1" si="0"/>
        <v>1</v>
      </c>
      <c r="Q12" s="55">
        <f>'Data Input'!AD64</f>
        <v>0.05</v>
      </c>
      <c r="R12" s="55">
        <f>'Data Input'!AE64</f>
        <v>0.05</v>
      </c>
      <c r="S12" s="44">
        <f t="shared" si="1"/>
        <v>0</v>
      </c>
      <c r="T12" s="17" t="str">
        <f ca="1">IF(ABS(S12)&gt;'Data Input'!$B$9,"REBALANCE",IF(AND(O12="BUY",S12&lt;0),"ADD",IF(AND(O12="SELL",S12&gt;0),"TRIM","HOLD")))</f>
        <v>HOLD</v>
      </c>
      <c r="U12" s="11"/>
      <c r="V12" s="11"/>
    </row>
    <row r="13" spans="1:22" ht="15" customHeight="1" x14ac:dyDescent="0.3">
      <c r="A13" s="51" t="str">
        <f>'Data Input'!A65</f>
        <v>XLK</v>
      </c>
      <c r="B13" s="51" t="str">
        <f>'Data Input'!B65</f>
        <v>US Eq</v>
      </c>
      <c r="C13" s="51" t="str">
        <f>'Data Input'!C65</f>
        <v>ETF</v>
      </c>
      <c r="D13" s="52" t="str">
        <f ca="1">IFERROR('Data Input'!E65,0)</f>
        <v/>
      </c>
      <c r="E13" s="52" t="str">
        <f ca="1">IFERROR('Data Input'!H65,0)</f>
        <v/>
      </c>
      <c r="F13" s="53" t="str">
        <f ca="1">IFERROR('Data Input'!V65,0)</f>
        <v/>
      </c>
      <c r="G13" s="53" t="str">
        <f ca="1">IFERROR('Data Input'!W65,0)</f>
        <v/>
      </c>
      <c r="H13" s="54" t="str">
        <f ca="1">IFERROR('Data Input'!J65,0)</f>
        <v/>
      </c>
      <c r="I13" s="52" t="str">
        <f ca="1">IFERROR('Data Input'!I65,0)</f>
        <v/>
      </c>
      <c r="J13" s="52" t="str">
        <f ca="1">IFERROR('Data Input'!M65,0)</f>
        <v/>
      </c>
      <c r="K13" s="52" t="str">
        <f ca="1">IFERROR('Data Input'!N65,0)</f>
        <v/>
      </c>
      <c r="L13" s="52" t="str">
        <f ca="1">IFERROR('Data Input'!O65,0)</f>
        <v/>
      </c>
      <c r="M13" s="52" t="str">
        <f ca="1">IFERROR('Data Input'!P65,0)</f>
        <v/>
      </c>
      <c r="N13" s="43">
        <f ca="1">IFERROR(IF('Data Input'!Q65&lt;&gt;"",'Data Input'!Q65,MIN(100,MAX(0,ROUND(50+(J13*0.4+K13*0.3+L13*0.2+M13*0.1)*200,0)))),0)</f>
        <v>0</v>
      </c>
      <c r="O13" s="17" t="str">
        <f ca="1">IF('Data Input'!S65&lt;&gt;"",'Data Input'!S65,IF(N13&gt;=70,"BUY",IF(N13&gt;=50,"HOLD","SELL")))</f>
        <v>SELL</v>
      </c>
      <c r="P13" s="43">
        <f t="shared" ca="1" si="0"/>
        <v>1</v>
      </c>
      <c r="Q13" s="55">
        <f>'Data Input'!AD65</f>
        <v>0.08</v>
      </c>
      <c r="R13" s="55">
        <f>'Data Input'!AE65</f>
        <v>0.09</v>
      </c>
      <c r="S13" s="44">
        <f t="shared" si="1"/>
        <v>9.999999999999995E-3</v>
      </c>
      <c r="T13" s="17" t="str">
        <f ca="1">IF(ABS(S13)&gt;'Data Input'!$B$9,"REBALANCE",IF(AND(O13="BUY",S13&lt;0),"ADD",IF(AND(O13="SELL",S13&gt;0),"TRIM","HOLD")))</f>
        <v>TRIM</v>
      </c>
      <c r="U13" s="11"/>
      <c r="V13" s="11"/>
    </row>
    <row r="14" spans="1:22" ht="15" customHeight="1" x14ac:dyDescent="0.3">
      <c r="A14" s="51" t="str">
        <f>'Data Input'!A66</f>
        <v>XLV</v>
      </c>
      <c r="B14" s="51" t="str">
        <f>'Data Input'!B66</f>
        <v>US Eq</v>
      </c>
      <c r="C14" s="51" t="str">
        <f>'Data Input'!C66</f>
        <v>ETF</v>
      </c>
      <c r="D14" s="52" t="str">
        <f ca="1">IFERROR('Data Input'!E66,0)</f>
        <v/>
      </c>
      <c r="E14" s="52" t="str">
        <f ca="1">IFERROR('Data Input'!H66,0)</f>
        <v/>
      </c>
      <c r="F14" s="53" t="str">
        <f ca="1">IFERROR('Data Input'!V66,0)</f>
        <v/>
      </c>
      <c r="G14" s="53" t="str">
        <f ca="1">IFERROR('Data Input'!W66,0)</f>
        <v/>
      </c>
      <c r="H14" s="54" t="str">
        <f ca="1">IFERROR('Data Input'!J66,0)</f>
        <v/>
      </c>
      <c r="I14" s="52" t="str">
        <f ca="1">IFERROR('Data Input'!I66,0)</f>
        <v/>
      </c>
      <c r="J14" s="52" t="str">
        <f ca="1">IFERROR('Data Input'!M66,0)</f>
        <v/>
      </c>
      <c r="K14" s="52" t="str">
        <f ca="1">IFERROR('Data Input'!N66,0)</f>
        <v/>
      </c>
      <c r="L14" s="52" t="str">
        <f ca="1">IFERROR('Data Input'!O66,0)</f>
        <v/>
      </c>
      <c r="M14" s="52" t="str">
        <f ca="1">IFERROR('Data Input'!P66,0)</f>
        <v/>
      </c>
      <c r="N14" s="43">
        <f ca="1">IFERROR(IF('Data Input'!Q66&lt;&gt;"",'Data Input'!Q66,MIN(100,MAX(0,ROUND(50+(J14*0.4+K14*0.3+L14*0.2+M14*0.1)*200,0)))),0)</f>
        <v>0</v>
      </c>
      <c r="O14" s="17" t="str">
        <f ca="1">IF('Data Input'!S66&lt;&gt;"",'Data Input'!S66,IF(N14&gt;=70,"BUY",IF(N14&gt;=50,"HOLD","SELL")))</f>
        <v>SELL</v>
      </c>
      <c r="P14" s="43">
        <f t="shared" ca="1" si="0"/>
        <v>1</v>
      </c>
      <c r="Q14" s="55">
        <f>'Data Input'!AD66</f>
        <v>0.04</v>
      </c>
      <c r="R14" s="55">
        <f>'Data Input'!AE66</f>
        <v>3.5000000000000003E-2</v>
      </c>
      <c r="S14" s="44">
        <f t="shared" si="1"/>
        <v>-4.9999999999999975E-3</v>
      </c>
      <c r="T14" s="17" t="str">
        <f ca="1">IF(ABS(S14)&gt;'Data Input'!$B$9,"REBALANCE",IF(AND(O14="BUY",S14&lt;0),"ADD",IF(AND(O14="SELL",S14&gt;0),"TRIM","HOLD")))</f>
        <v>HOLD</v>
      </c>
      <c r="U14" s="11"/>
      <c r="V14" s="11"/>
    </row>
    <row r="15" spans="1:22" ht="15" customHeight="1" x14ac:dyDescent="0.3">
      <c r="A15" s="51" t="str">
        <f>'Data Input'!A67</f>
        <v>XLE</v>
      </c>
      <c r="B15" s="51" t="str">
        <f>'Data Input'!B67</f>
        <v>US Eq</v>
      </c>
      <c r="C15" s="51" t="str">
        <f>'Data Input'!C67</f>
        <v>ETF</v>
      </c>
      <c r="D15" s="52" t="str">
        <f ca="1">IFERROR('Data Input'!E67,0)</f>
        <v/>
      </c>
      <c r="E15" s="52" t="str">
        <f ca="1">IFERROR('Data Input'!H67,0)</f>
        <v/>
      </c>
      <c r="F15" s="53" t="str">
        <f ca="1">IFERROR('Data Input'!V67,0)</f>
        <v/>
      </c>
      <c r="G15" s="53" t="str">
        <f ca="1">IFERROR('Data Input'!W67,0)</f>
        <v/>
      </c>
      <c r="H15" s="54" t="str">
        <f ca="1">IFERROR('Data Input'!J67,0)</f>
        <v/>
      </c>
      <c r="I15" s="52" t="str">
        <f ca="1">IFERROR('Data Input'!I67,0)</f>
        <v/>
      </c>
      <c r="J15" s="52" t="str">
        <f ca="1">IFERROR('Data Input'!M67,0)</f>
        <v/>
      </c>
      <c r="K15" s="52" t="str">
        <f ca="1">IFERROR('Data Input'!N67,0)</f>
        <v/>
      </c>
      <c r="L15" s="52" t="str">
        <f ca="1">IFERROR('Data Input'!O67,0)</f>
        <v/>
      </c>
      <c r="M15" s="52" t="str">
        <f ca="1">IFERROR('Data Input'!P67,0)</f>
        <v/>
      </c>
      <c r="N15" s="43">
        <f ca="1">IFERROR(IF('Data Input'!Q67&lt;&gt;"",'Data Input'!Q67,MIN(100,MAX(0,ROUND(50+(J15*0.4+K15*0.3+L15*0.2+M15*0.1)*200,0)))),0)</f>
        <v>0</v>
      </c>
      <c r="O15" s="17" t="str">
        <f ca="1">IF('Data Input'!S67&lt;&gt;"",'Data Input'!S67,IF(N15&gt;=70,"BUY",IF(N15&gt;=50,"HOLD","SELL")))</f>
        <v>SELL</v>
      </c>
      <c r="P15" s="43">
        <f t="shared" ca="1" si="0"/>
        <v>1</v>
      </c>
      <c r="Q15" s="55">
        <f>'Data Input'!AD67</f>
        <v>0.03</v>
      </c>
      <c r="R15" s="55">
        <f>'Data Input'!AE67</f>
        <v>0.03</v>
      </c>
      <c r="S15" s="44">
        <f t="shared" si="1"/>
        <v>0</v>
      </c>
      <c r="T15" s="17" t="str">
        <f ca="1">IF(ABS(S15)&gt;'Data Input'!$B$9,"REBALANCE",IF(AND(O15="BUY",S15&lt;0),"ADD",IF(AND(O15="SELL",S15&gt;0),"TRIM","HOLD")))</f>
        <v>HOLD</v>
      </c>
      <c r="U15" s="11"/>
      <c r="V15" s="11"/>
    </row>
    <row r="16" spans="1:22" ht="15" customHeight="1" x14ac:dyDescent="0.3">
      <c r="A16" s="51" t="str">
        <f>'Data Input'!A68</f>
        <v>XLF</v>
      </c>
      <c r="B16" s="51" t="str">
        <f>'Data Input'!B68</f>
        <v>US Eq</v>
      </c>
      <c r="C16" s="51" t="str">
        <f>'Data Input'!C68</f>
        <v>ETF</v>
      </c>
      <c r="D16" s="52" t="str">
        <f ca="1">IFERROR('Data Input'!E68,0)</f>
        <v/>
      </c>
      <c r="E16" s="52" t="str">
        <f ca="1">IFERROR('Data Input'!H68,0)</f>
        <v/>
      </c>
      <c r="F16" s="53" t="str">
        <f ca="1">IFERROR('Data Input'!V68,0)</f>
        <v/>
      </c>
      <c r="G16" s="53" t="str">
        <f ca="1">IFERROR('Data Input'!W68,0)</f>
        <v/>
      </c>
      <c r="H16" s="54" t="str">
        <f ca="1">IFERROR('Data Input'!J68,0)</f>
        <v/>
      </c>
      <c r="I16" s="52" t="str">
        <f ca="1">IFERROR('Data Input'!I68,0)</f>
        <v/>
      </c>
      <c r="J16" s="52" t="str">
        <f ca="1">IFERROR('Data Input'!M68,0)</f>
        <v/>
      </c>
      <c r="K16" s="52" t="str">
        <f ca="1">IFERROR('Data Input'!N68,0)</f>
        <v/>
      </c>
      <c r="L16" s="52" t="str">
        <f ca="1">IFERROR('Data Input'!O68,0)</f>
        <v/>
      </c>
      <c r="M16" s="52" t="str">
        <f ca="1">IFERROR('Data Input'!P68,0)</f>
        <v/>
      </c>
      <c r="N16" s="43">
        <f ca="1">IFERROR(IF('Data Input'!Q68&lt;&gt;"",'Data Input'!Q68,MIN(100,MAX(0,ROUND(50+(J16*0.4+K16*0.3+L16*0.2+M16*0.1)*200,0)))),0)</f>
        <v>0</v>
      </c>
      <c r="O16" s="17" t="str">
        <f ca="1">IF('Data Input'!S68&lt;&gt;"",'Data Input'!S68,IF(N16&gt;=70,"BUY",IF(N16&gt;=50,"HOLD","SELL")))</f>
        <v>SELL</v>
      </c>
      <c r="P16" s="43">
        <f t="shared" ca="1" si="0"/>
        <v>1</v>
      </c>
      <c r="Q16" s="55">
        <f>'Data Input'!AD68</f>
        <v>0.04</v>
      </c>
      <c r="R16" s="55">
        <f>'Data Input'!AE68</f>
        <v>0.05</v>
      </c>
      <c r="S16" s="44">
        <f t="shared" si="1"/>
        <v>1.0000000000000002E-2</v>
      </c>
      <c r="T16" s="17" t="str">
        <f ca="1">IF(ABS(S16)&gt;'Data Input'!$B$9,"REBALANCE",IF(AND(O16="BUY",S16&lt;0),"ADD",IF(AND(O16="SELL",S16&gt;0),"TRIM","HOLD")))</f>
        <v>TRIM</v>
      </c>
      <c r="U16" s="11"/>
      <c r="V16" s="11"/>
    </row>
    <row r="17" spans="1:22" ht="15" customHeight="1" x14ac:dyDescent="0.3">
      <c r="A17" s="51" t="str">
        <f>'Data Input'!A69</f>
        <v>DBMF</v>
      </c>
      <c r="B17" s="51" t="str">
        <f>'Data Input'!B69</f>
        <v>MF</v>
      </c>
      <c r="C17" s="51" t="str">
        <f>'Data Input'!C69</f>
        <v>ETF</v>
      </c>
      <c r="D17" s="52" t="str">
        <f ca="1">IFERROR('Data Input'!E69,0)</f>
        <v/>
      </c>
      <c r="E17" s="52" t="str">
        <f ca="1">IFERROR('Data Input'!H69,0)</f>
        <v/>
      </c>
      <c r="F17" s="53" t="str">
        <f ca="1">IFERROR('Data Input'!V69,0)</f>
        <v/>
      </c>
      <c r="G17" s="53" t="str">
        <f ca="1">IFERROR('Data Input'!W69,0)</f>
        <v/>
      </c>
      <c r="H17" s="54" t="str">
        <f ca="1">IFERROR('Data Input'!J69,0)</f>
        <v/>
      </c>
      <c r="I17" s="52" t="str">
        <f ca="1">IFERROR('Data Input'!I69,0)</f>
        <v/>
      </c>
      <c r="J17" s="52" t="str">
        <f ca="1">IFERROR('Data Input'!M69,0)</f>
        <v/>
      </c>
      <c r="K17" s="52" t="str">
        <f ca="1">IFERROR('Data Input'!N69,0)</f>
        <v/>
      </c>
      <c r="L17" s="52" t="str">
        <f ca="1">IFERROR('Data Input'!O69,0)</f>
        <v/>
      </c>
      <c r="M17" s="52" t="str">
        <f ca="1">IFERROR('Data Input'!P69,0)</f>
        <v/>
      </c>
      <c r="N17" s="43">
        <f ca="1">IFERROR(IF('Data Input'!Q69&lt;&gt;"",'Data Input'!Q69,MIN(100,MAX(0,ROUND(50+(J17*0.4+K17*0.3+L17*0.2+M17*0.1)*200,0)))),0)</f>
        <v>0</v>
      </c>
      <c r="O17" s="17" t="str">
        <f ca="1">IF('Data Input'!S69&lt;&gt;"",'Data Input'!S69,IF(N17&gt;=70,"BUY",IF(N17&gt;=50,"HOLD","SELL")))</f>
        <v>SELL</v>
      </c>
      <c r="P17" s="43">
        <f t="shared" ca="1" si="0"/>
        <v>1</v>
      </c>
      <c r="Q17" s="55">
        <f>'Data Input'!AD69</f>
        <v>0.06</v>
      </c>
      <c r="R17" s="55">
        <f>'Data Input'!AE69</f>
        <v>5.5E-2</v>
      </c>
      <c r="S17" s="44">
        <f t="shared" si="1"/>
        <v>-4.9999999999999975E-3</v>
      </c>
      <c r="T17" s="17" t="str">
        <f ca="1">IF(ABS(S17)&gt;'Data Input'!$B$9,"REBALANCE",IF(AND(O17="BUY",S17&lt;0),"ADD",IF(AND(O17="SELL",S17&gt;0),"TRIM","HOLD")))</f>
        <v>HOLD</v>
      </c>
      <c r="U17" s="11"/>
      <c r="V17" s="11"/>
    </row>
    <row r="18" spans="1:22" ht="15" customHeight="1" x14ac:dyDescent="0.3">
      <c r="A18" s="51" t="str">
        <f>'Data Input'!A70</f>
        <v>CTA</v>
      </c>
      <c r="B18" s="51" t="str">
        <f>'Data Input'!B70</f>
        <v>MF</v>
      </c>
      <c r="C18" s="51" t="str">
        <f>'Data Input'!C70</f>
        <v>ETF</v>
      </c>
      <c r="D18" s="52" t="str">
        <f ca="1">IFERROR('Data Input'!E70,0)</f>
        <v/>
      </c>
      <c r="E18" s="52" t="str">
        <f ca="1">IFERROR('Data Input'!H70,0)</f>
        <v/>
      </c>
      <c r="F18" s="53" t="str">
        <f ca="1">IFERROR('Data Input'!V70,0)</f>
        <v/>
      </c>
      <c r="G18" s="53" t="str">
        <f ca="1">IFERROR('Data Input'!W70,0)</f>
        <v/>
      </c>
      <c r="H18" s="54" t="str">
        <f ca="1">IFERROR('Data Input'!J70,0)</f>
        <v/>
      </c>
      <c r="I18" s="52" t="str">
        <f ca="1">IFERROR('Data Input'!I70,0)</f>
        <v/>
      </c>
      <c r="J18" s="52" t="str">
        <f ca="1">IFERROR('Data Input'!M70,0)</f>
        <v/>
      </c>
      <c r="K18" s="52" t="str">
        <f ca="1">IFERROR('Data Input'!N70,0)</f>
        <v/>
      </c>
      <c r="L18" s="52" t="str">
        <f ca="1">IFERROR('Data Input'!O70,0)</f>
        <v/>
      </c>
      <c r="M18" s="52" t="str">
        <f ca="1">IFERROR('Data Input'!P70,0)</f>
        <v/>
      </c>
      <c r="N18" s="43">
        <f ca="1">IFERROR(IF('Data Input'!Q70&lt;&gt;"",'Data Input'!Q70,MIN(100,MAX(0,ROUND(50+(J18*0.4+K18*0.3+L18*0.2+M18*0.1)*200,0)))),0)</f>
        <v>0</v>
      </c>
      <c r="O18" s="17" t="str">
        <f ca="1">IF('Data Input'!S70&lt;&gt;"",'Data Input'!S70,IF(N18&gt;=70,"BUY",IF(N18&gt;=50,"HOLD","SELL")))</f>
        <v>SELL</v>
      </c>
      <c r="P18" s="43">
        <f t="shared" ca="1" si="0"/>
        <v>1</v>
      </c>
      <c r="Q18" s="55">
        <f>'Data Input'!AD70</f>
        <v>0.04</v>
      </c>
      <c r="R18" s="55">
        <f>'Data Input'!AE70</f>
        <v>0.04</v>
      </c>
      <c r="S18" s="44">
        <f t="shared" si="1"/>
        <v>0</v>
      </c>
      <c r="T18" s="17" t="str">
        <f ca="1">IF(ABS(S18)&gt;'Data Input'!$B$9,"REBALANCE",IF(AND(O18="BUY",S18&lt;0),"ADD",IF(AND(O18="SELL",S18&gt;0),"TRIM","HOLD")))</f>
        <v>HOLD</v>
      </c>
      <c r="U18" s="11"/>
      <c r="V18" s="11"/>
    </row>
    <row r="19" spans="1:22" ht="15" customHeight="1" x14ac:dyDescent="0.3">
      <c r="A19" s="51" t="str">
        <f>'Data Input'!A71</f>
        <v>KMLM</v>
      </c>
      <c r="B19" s="51" t="str">
        <f>'Data Input'!B71</f>
        <v>MF</v>
      </c>
      <c r="C19" s="51" t="str">
        <f>'Data Input'!C71</f>
        <v>ETF</v>
      </c>
      <c r="D19" s="52" t="str">
        <f ca="1">IFERROR('Data Input'!E71,0)</f>
        <v/>
      </c>
      <c r="E19" s="52" t="str">
        <f ca="1">IFERROR('Data Input'!H71,0)</f>
        <v/>
      </c>
      <c r="F19" s="53" t="str">
        <f ca="1">IFERROR('Data Input'!V71,0)</f>
        <v/>
      </c>
      <c r="G19" s="53" t="str">
        <f ca="1">IFERROR('Data Input'!W71,0)</f>
        <v/>
      </c>
      <c r="H19" s="54" t="str">
        <f ca="1">IFERROR('Data Input'!J71,0)</f>
        <v/>
      </c>
      <c r="I19" s="52" t="str">
        <f ca="1">IFERROR('Data Input'!I71,0)</f>
        <v/>
      </c>
      <c r="J19" s="52" t="str">
        <f ca="1">IFERROR('Data Input'!M71,0)</f>
        <v/>
      </c>
      <c r="K19" s="52" t="str">
        <f ca="1">IFERROR('Data Input'!N71,0)</f>
        <v/>
      </c>
      <c r="L19" s="52" t="str">
        <f ca="1">IFERROR('Data Input'!O71,0)</f>
        <v/>
      </c>
      <c r="M19" s="52" t="str">
        <f ca="1">IFERROR('Data Input'!P71,0)</f>
        <v/>
      </c>
      <c r="N19" s="43">
        <f ca="1">IFERROR(IF('Data Input'!Q71&lt;&gt;"",'Data Input'!Q71,MIN(100,MAX(0,ROUND(50+(J19*0.4+K19*0.3+L19*0.2+M19*0.1)*200,0)))),0)</f>
        <v>0</v>
      </c>
      <c r="O19" s="17" t="str">
        <f ca="1">IF('Data Input'!S71&lt;&gt;"",'Data Input'!S71,IF(N19&gt;=70,"BUY",IF(N19&gt;=50,"HOLD","SELL")))</f>
        <v>SELL</v>
      </c>
      <c r="P19" s="43">
        <f t="shared" ca="1" si="0"/>
        <v>1</v>
      </c>
      <c r="Q19" s="55">
        <f>'Data Input'!AD71</f>
        <v>0.04</v>
      </c>
      <c r="R19" s="55">
        <f>'Data Input'!AE71</f>
        <v>0.05</v>
      </c>
      <c r="S19" s="44">
        <f t="shared" si="1"/>
        <v>1.0000000000000002E-2</v>
      </c>
      <c r="T19" s="17" t="str">
        <f ca="1">IF(ABS(S19)&gt;'Data Input'!$B$9,"REBALANCE",IF(AND(O19="BUY",S19&lt;0),"ADD",IF(AND(O19="SELL",S19&gt;0),"TRIM","HOLD")))</f>
        <v>TRIM</v>
      </c>
      <c r="U19" s="11"/>
      <c r="V19" s="11"/>
    </row>
    <row r="20" spans="1:22" ht="15" customHeight="1" x14ac:dyDescent="0.3">
      <c r="A20" s="51" t="str">
        <f>'Data Input'!A72</f>
        <v>BTAL</v>
      </c>
      <c r="B20" s="51" t="str">
        <f>'Data Input'!B72</f>
        <v>Hedge</v>
      </c>
      <c r="C20" s="51" t="str">
        <f>'Data Input'!C72</f>
        <v>ETF</v>
      </c>
      <c r="D20" s="52" t="str">
        <f ca="1">IFERROR('Data Input'!E72,0)</f>
        <v/>
      </c>
      <c r="E20" s="52" t="str">
        <f ca="1">IFERROR('Data Input'!H72,0)</f>
        <v/>
      </c>
      <c r="F20" s="53" t="str">
        <f ca="1">IFERROR('Data Input'!V72,0)</f>
        <v/>
      </c>
      <c r="G20" s="53" t="str">
        <f ca="1">IFERROR('Data Input'!W72,0)</f>
        <v/>
      </c>
      <c r="H20" s="54" t="str">
        <f ca="1">IFERROR('Data Input'!J72,0)</f>
        <v/>
      </c>
      <c r="I20" s="52" t="str">
        <f ca="1">IFERROR('Data Input'!I72,0)</f>
        <v/>
      </c>
      <c r="J20" s="52" t="str">
        <f ca="1">IFERROR('Data Input'!M72,0)</f>
        <v/>
      </c>
      <c r="K20" s="52" t="str">
        <f ca="1">IFERROR('Data Input'!N72,0)</f>
        <v/>
      </c>
      <c r="L20" s="52" t="str">
        <f ca="1">IFERROR('Data Input'!O72,0)</f>
        <v/>
      </c>
      <c r="M20" s="52" t="str">
        <f ca="1">IFERROR('Data Input'!P72,0)</f>
        <v/>
      </c>
      <c r="N20" s="43">
        <f ca="1">IFERROR(IF('Data Input'!Q72&lt;&gt;"",'Data Input'!Q72,MIN(100,MAX(0,ROUND(50+(J20*0.4+K20*0.3+L20*0.2+M20*0.1)*200,0)))),0)</f>
        <v>0</v>
      </c>
      <c r="O20" s="17" t="str">
        <f ca="1">IF('Data Input'!S72&lt;&gt;"",'Data Input'!S72,IF(N20&gt;=70,"BUY",IF(N20&gt;=50,"HOLD","SELL")))</f>
        <v>SELL</v>
      </c>
      <c r="P20" s="43">
        <f t="shared" ca="1" si="0"/>
        <v>1</v>
      </c>
      <c r="Q20" s="55">
        <f>'Data Input'!AD72</f>
        <v>0.03</v>
      </c>
      <c r="R20" s="55">
        <f>'Data Input'!AE72</f>
        <v>2.5000000000000001E-2</v>
      </c>
      <c r="S20" s="44">
        <f t="shared" si="1"/>
        <v>-4.9999999999999975E-3</v>
      </c>
      <c r="T20" s="17" t="str">
        <f ca="1">IF(ABS(S20)&gt;'Data Input'!$B$9,"REBALANCE",IF(AND(O20="BUY",S20&lt;0),"ADD",IF(AND(O20="SELL",S20&gt;0),"TRIM","HOLD")))</f>
        <v>HOLD</v>
      </c>
      <c r="U20" s="11"/>
      <c r="V20" s="11"/>
    </row>
    <row r="21" spans="1:22" ht="15" customHeight="1" x14ac:dyDescent="0.3">
      <c r="A21" s="51" t="str">
        <f>'Data Input'!A73</f>
        <v>TAIL</v>
      </c>
      <c r="B21" s="51" t="str">
        <f>'Data Input'!B73</f>
        <v>Hedge</v>
      </c>
      <c r="C21" s="51" t="str">
        <f>'Data Input'!C73</f>
        <v>ETF</v>
      </c>
      <c r="D21" s="52" t="str">
        <f ca="1">IFERROR('Data Input'!E73,0)</f>
        <v/>
      </c>
      <c r="E21" s="52" t="str">
        <f ca="1">IFERROR('Data Input'!H73,0)</f>
        <v/>
      </c>
      <c r="F21" s="53" t="str">
        <f ca="1">IFERROR('Data Input'!V73,0)</f>
        <v/>
      </c>
      <c r="G21" s="53" t="str">
        <f ca="1">IFERROR('Data Input'!W73,0)</f>
        <v/>
      </c>
      <c r="H21" s="54" t="str">
        <f ca="1">IFERROR('Data Input'!J73,0)</f>
        <v/>
      </c>
      <c r="I21" s="52" t="str">
        <f ca="1">IFERROR('Data Input'!I73,0)</f>
        <v/>
      </c>
      <c r="J21" s="52" t="str">
        <f ca="1">IFERROR('Data Input'!M73,0)</f>
        <v/>
      </c>
      <c r="K21" s="52" t="str">
        <f ca="1">IFERROR('Data Input'!N73,0)</f>
        <v/>
      </c>
      <c r="L21" s="52" t="str">
        <f ca="1">IFERROR('Data Input'!O73,0)</f>
        <v/>
      </c>
      <c r="M21" s="52" t="str">
        <f ca="1">IFERROR('Data Input'!P73,0)</f>
        <v/>
      </c>
      <c r="N21" s="43">
        <f ca="1">IFERROR(IF('Data Input'!Q73&lt;&gt;"",'Data Input'!Q73,MIN(100,MAX(0,ROUND(50+(J21*0.4+K21*0.3+L21*0.2+M21*0.1)*200,0)))),0)</f>
        <v>0</v>
      </c>
      <c r="O21" s="17" t="str">
        <f ca="1">IF('Data Input'!S73&lt;&gt;"",'Data Input'!S73,IF(N21&gt;=70,"BUY",IF(N21&gt;=50,"HOLD","SELL")))</f>
        <v>SELL</v>
      </c>
      <c r="P21" s="43">
        <f t="shared" ca="1" si="0"/>
        <v>1</v>
      </c>
      <c r="Q21" s="55">
        <f>'Data Input'!AD73</f>
        <v>0.02</v>
      </c>
      <c r="R21" s="55">
        <f>'Data Input'!AE73</f>
        <v>0.02</v>
      </c>
      <c r="S21" s="44">
        <f t="shared" si="1"/>
        <v>0</v>
      </c>
      <c r="T21" s="17" t="str">
        <f ca="1">IF(ABS(S21)&gt;'Data Input'!$B$9,"REBALANCE",IF(AND(O21="BUY",S21&lt;0),"ADD",IF(AND(O21="SELL",S21&gt;0),"TRIM","HOLD")))</f>
        <v>HOLD</v>
      </c>
      <c r="U21" s="11"/>
      <c r="V21" s="11"/>
    </row>
    <row r="22" spans="1:22" ht="15" customHeight="1" x14ac:dyDescent="0.3">
      <c r="A22" s="51" t="str">
        <f>'Data Input'!A74</f>
        <v>AAPL</v>
      </c>
      <c r="B22" s="51" t="str">
        <f>'Data Input'!B74</f>
        <v>US Eq</v>
      </c>
      <c r="C22" s="51" t="str">
        <f>'Data Input'!C74</f>
        <v>Stock</v>
      </c>
      <c r="D22" s="52" t="str">
        <f ca="1">IFERROR('Data Input'!E74,0)</f>
        <v/>
      </c>
      <c r="E22" s="52" t="str">
        <f ca="1">IFERROR('Data Input'!H74,0)</f>
        <v/>
      </c>
      <c r="F22" s="53" t="str">
        <f ca="1">IFERROR('Data Input'!V74,0)</f>
        <v/>
      </c>
      <c r="G22" s="53" t="str">
        <f ca="1">IFERROR('Data Input'!W74,0)</f>
        <v/>
      </c>
      <c r="H22" s="54" t="str">
        <f ca="1">IFERROR('Data Input'!J74,0)</f>
        <v/>
      </c>
      <c r="I22" s="52" t="str">
        <f ca="1">IFERROR('Data Input'!I74,0)</f>
        <v/>
      </c>
      <c r="J22" s="52" t="str">
        <f ca="1">IFERROR('Data Input'!M74,0)</f>
        <v/>
      </c>
      <c r="K22" s="52" t="str">
        <f ca="1">IFERROR('Data Input'!N74,0)</f>
        <v/>
      </c>
      <c r="L22" s="52" t="str">
        <f ca="1">IFERROR('Data Input'!O74,0)</f>
        <v/>
      </c>
      <c r="M22" s="52" t="str">
        <f ca="1">IFERROR('Data Input'!P74,0)</f>
        <v/>
      </c>
      <c r="N22" s="43">
        <f ca="1">IFERROR(IF('Data Input'!Q74&lt;&gt;"",'Data Input'!Q74,MIN(100,MAX(0,ROUND(50+(J22*0.4+K22*0.3+L22*0.2+M22*0.1)*200,0)))),0)</f>
        <v>0</v>
      </c>
      <c r="O22" s="17" t="str">
        <f ca="1">IF('Data Input'!S74&lt;&gt;"",'Data Input'!S74,IF(N22&gt;=70,"BUY",IF(N22&gt;=50,"HOLD","SELL")))</f>
        <v>SELL</v>
      </c>
      <c r="P22" s="43">
        <f t="shared" ca="1" si="0"/>
        <v>1</v>
      </c>
      <c r="Q22" s="55">
        <f>'Data Input'!AD74</f>
        <v>0.02</v>
      </c>
      <c r="R22" s="55">
        <f>'Data Input'!AE74</f>
        <v>0.03</v>
      </c>
      <c r="S22" s="44">
        <f t="shared" si="1"/>
        <v>9.9999999999999985E-3</v>
      </c>
      <c r="T22" s="17" t="str">
        <f ca="1">IF(ABS(S22)&gt;'Data Input'!$B$9,"REBALANCE",IF(AND(O22="BUY",S22&lt;0),"ADD",IF(AND(O22="SELL",S22&gt;0),"TRIM","HOLD")))</f>
        <v>TRIM</v>
      </c>
      <c r="U22" s="11"/>
      <c r="V22" s="11"/>
    </row>
    <row r="23" spans="1:22" ht="15" customHeight="1" x14ac:dyDescent="0.3">
      <c r="A23" s="51" t="str">
        <f>'Data Input'!A75</f>
        <v>MSFT</v>
      </c>
      <c r="B23" s="51" t="str">
        <f>'Data Input'!B75</f>
        <v>US Eq</v>
      </c>
      <c r="C23" s="51" t="str">
        <f>'Data Input'!C75</f>
        <v>Stock</v>
      </c>
      <c r="D23" s="52" t="str">
        <f ca="1">IFERROR('Data Input'!E75,0)</f>
        <v/>
      </c>
      <c r="E23" s="52" t="str">
        <f ca="1">IFERROR('Data Input'!H75,0)</f>
        <v/>
      </c>
      <c r="F23" s="53" t="str">
        <f ca="1">IFERROR('Data Input'!V75,0)</f>
        <v/>
      </c>
      <c r="G23" s="53" t="str">
        <f ca="1">IFERROR('Data Input'!W75,0)</f>
        <v/>
      </c>
      <c r="H23" s="54" t="str">
        <f ca="1">IFERROR('Data Input'!J75,0)</f>
        <v/>
      </c>
      <c r="I23" s="52" t="str">
        <f ca="1">IFERROR('Data Input'!I75,0)</f>
        <v/>
      </c>
      <c r="J23" s="52" t="str">
        <f ca="1">IFERROR('Data Input'!M75,0)</f>
        <v/>
      </c>
      <c r="K23" s="52" t="str">
        <f ca="1">IFERROR('Data Input'!N75,0)</f>
        <v/>
      </c>
      <c r="L23" s="52" t="str">
        <f ca="1">IFERROR('Data Input'!O75,0)</f>
        <v/>
      </c>
      <c r="M23" s="52" t="str">
        <f ca="1">IFERROR('Data Input'!P75,0)</f>
        <v/>
      </c>
      <c r="N23" s="43">
        <f ca="1">IFERROR(IF('Data Input'!Q75&lt;&gt;"",'Data Input'!Q75,MIN(100,MAX(0,ROUND(50+(J23*0.4+K23*0.3+L23*0.2+M23*0.1)*200,0)))),0)</f>
        <v>0</v>
      </c>
      <c r="O23" s="17" t="str">
        <f ca="1">IF('Data Input'!S75&lt;&gt;"",'Data Input'!S75,IF(N23&gt;=70,"BUY",IF(N23&gt;=50,"HOLD","SELL")))</f>
        <v>SELL</v>
      </c>
      <c r="P23" s="43">
        <f t="shared" ca="1" si="0"/>
        <v>1</v>
      </c>
      <c r="Q23" s="55">
        <f>'Data Input'!AD75</f>
        <v>0.02</v>
      </c>
      <c r="R23" s="55">
        <f>'Data Input'!AE75</f>
        <v>1.4999999999999999E-2</v>
      </c>
      <c r="S23" s="44">
        <f t="shared" si="1"/>
        <v>-5.000000000000001E-3</v>
      </c>
      <c r="T23" s="17" t="str">
        <f ca="1">IF(ABS(S23)&gt;'Data Input'!$B$9,"REBALANCE",IF(AND(O23="BUY",S23&lt;0),"ADD",IF(AND(O23="SELL",S23&gt;0),"TRIM","HOLD")))</f>
        <v>HOLD</v>
      </c>
      <c r="U23" s="11"/>
      <c r="V23" s="11"/>
    </row>
    <row r="24" spans="1:22" ht="15" customHeight="1" x14ac:dyDescent="0.3">
      <c r="A24" s="51" t="str">
        <f>'Data Input'!A76</f>
        <v>NVDA</v>
      </c>
      <c r="B24" s="51" t="str">
        <f>'Data Input'!B76</f>
        <v>US Eq</v>
      </c>
      <c r="C24" s="51" t="str">
        <f>'Data Input'!C76</f>
        <v>Stock</v>
      </c>
      <c r="D24" s="52" t="str">
        <f ca="1">IFERROR('Data Input'!E76,0)</f>
        <v/>
      </c>
      <c r="E24" s="52" t="str">
        <f ca="1">IFERROR('Data Input'!H76,0)</f>
        <v/>
      </c>
      <c r="F24" s="53" t="str">
        <f ca="1">IFERROR('Data Input'!V76,0)</f>
        <v/>
      </c>
      <c r="G24" s="53" t="str">
        <f ca="1">IFERROR('Data Input'!W76,0)</f>
        <v/>
      </c>
      <c r="H24" s="54" t="str">
        <f ca="1">IFERROR('Data Input'!J76,0)</f>
        <v/>
      </c>
      <c r="I24" s="52" t="str">
        <f ca="1">IFERROR('Data Input'!I76,0)</f>
        <v/>
      </c>
      <c r="J24" s="52" t="str">
        <f ca="1">IFERROR('Data Input'!M76,0)</f>
        <v/>
      </c>
      <c r="K24" s="52" t="str">
        <f ca="1">IFERROR('Data Input'!N76,0)</f>
        <v/>
      </c>
      <c r="L24" s="52" t="str">
        <f ca="1">IFERROR('Data Input'!O76,0)</f>
        <v/>
      </c>
      <c r="M24" s="52" t="str">
        <f ca="1">IFERROR('Data Input'!P76,0)</f>
        <v/>
      </c>
      <c r="N24" s="43">
        <f ca="1">IFERROR(IF('Data Input'!Q76&lt;&gt;"",'Data Input'!Q76,MIN(100,MAX(0,ROUND(50+(J24*0.4+K24*0.3+L24*0.2+M24*0.1)*200,0)))),0)</f>
        <v>0</v>
      </c>
      <c r="O24" s="17" t="str">
        <f ca="1">IF('Data Input'!S76&lt;&gt;"",'Data Input'!S76,IF(N24&gt;=70,"BUY",IF(N24&gt;=50,"HOLD","SELL")))</f>
        <v>SELL</v>
      </c>
      <c r="P24" s="43">
        <f t="shared" ca="1" si="0"/>
        <v>1</v>
      </c>
      <c r="Q24" s="55">
        <f>'Data Input'!AD76</f>
        <v>0.01</v>
      </c>
      <c r="R24" s="55">
        <f>'Data Input'!AE76</f>
        <v>0.01</v>
      </c>
      <c r="S24" s="44">
        <f t="shared" si="1"/>
        <v>0</v>
      </c>
      <c r="T24" s="17" t="str">
        <f ca="1">IF(ABS(S24)&gt;'Data Input'!$B$9,"REBALANCE",IF(AND(O24="BUY",S24&lt;0),"ADD",IF(AND(O24="SELL",S24&gt;0),"TRIM","HOLD")))</f>
        <v>HOLD</v>
      </c>
      <c r="U24" s="11"/>
      <c r="V24" s="11"/>
    </row>
    <row r="25" spans="1:22" ht="15" customHeight="1" x14ac:dyDescent="0.3">
      <c r="A25" s="51" t="str">
        <f>'Data Input'!A77</f>
        <v>JPM</v>
      </c>
      <c r="B25" s="51" t="str">
        <f>'Data Input'!B77</f>
        <v>US Eq</v>
      </c>
      <c r="C25" s="51" t="str">
        <f>'Data Input'!C77</f>
        <v>Stock</v>
      </c>
      <c r="D25" s="52" t="str">
        <f ca="1">IFERROR('Data Input'!E77,0)</f>
        <v/>
      </c>
      <c r="E25" s="52" t="str">
        <f ca="1">IFERROR('Data Input'!H77,0)</f>
        <v/>
      </c>
      <c r="F25" s="53" t="str">
        <f ca="1">IFERROR('Data Input'!V77,0)</f>
        <v/>
      </c>
      <c r="G25" s="53" t="str">
        <f ca="1">IFERROR('Data Input'!W77,0)</f>
        <v/>
      </c>
      <c r="H25" s="54" t="str">
        <f ca="1">IFERROR('Data Input'!J77,0)</f>
        <v/>
      </c>
      <c r="I25" s="52" t="str">
        <f ca="1">IFERROR('Data Input'!I77,0)</f>
        <v/>
      </c>
      <c r="J25" s="52" t="str">
        <f ca="1">IFERROR('Data Input'!M77,0)</f>
        <v/>
      </c>
      <c r="K25" s="52" t="str">
        <f ca="1">IFERROR('Data Input'!N77,0)</f>
        <v/>
      </c>
      <c r="L25" s="52" t="str">
        <f ca="1">IFERROR('Data Input'!O77,0)</f>
        <v/>
      </c>
      <c r="M25" s="52" t="str">
        <f ca="1">IFERROR('Data Input'!P77,0)</f>
        <v/>
      </c>
      <c r="N25" s="43">
        <f ca="1">IFERROR(IF('Data Input'!Q77&lt;&gt;"",'Data Input'!Q77,MIN(100,MAX(0,ROUND(50+(J25*0.4+K25*0.3+L25*0.2+M25*0.1)*200,0)))),0)</f>
        <v>0</v>
      </c>
      <c r="O25" s="17" t="str">
        <f ca="1">IF('Data Input'!S77&lt;&gt;"",'Data Input'!S77,IF(N25&gt;=70,"BUY",IF(N25&gt;=50,"HOLD","SELL")))</f>
        <v>SELL</v>
      </c>
      <c r="P25" s="43">
        <f t="shared" ca="1" si="0"/>
        <v>1</v>
      </c>
      <c r="Q25" s="55">
        <f>'Data Input'!AD77</f>
        <v>0.02</v>
      </c>
      <c r="R25" s="55">
        <f>'Data Input'!AE77</f>
        <v>0.03</v>
      </c>
      <c r="S25" s="44">
        <f t="shared" si="1"/>
        <v>9.9999999999999985E-3</v>
      </c>
      <c r="T25" s="17" t="str">
        <f ca="1">IF(ABS(S25)&gt;'Data Input'!$B$9,"REBALANCE",IF(AND(O25="BUY",S25&lt;0),"ADD",IF(AND(O25="SELL",S25&gt;0),"TRIM","HOLD")))</f>
        <v>TRIM</v>
      </c>
      <c r="U25" s="11"/>
      <c r="V25" s="11"/>
    </row>
    <row r="26" spans="1:22" ht="15" customHeight="1" x14ac:dyDescent="0.3">
      <c r="A26" s="51" t="str">
        <f>'Data Input'!A78</f>
        <v>VFIAX</v>
      </c>
      <c r="B26" s="51" t="str">
        <f>'Data Input'!B78</f>
        <v>US Eq</v>
      </c>
      <c r="C26" s="51" t="str">
        <f>'Data Input'!C78</f>
        <v>MF</v>
      </c>
      <c r="D26" s="52" t="str">
        <f ca="1">IFERROR('Data Input'!E78,0)</f>
        <v/>
      </c>
      <c r="E26" s="52" t="str">
        <f ca="1">IFERROR('Data Input'!H78,0)</f>
        <v/>
      </c>
      <c r="F26" s="53" t="str">
        <f ca="1">IFERROR('Data Input'!V78,0)</f>
        <v/>
      </c>
      <c r="G26" s="53" t="str">
        <f ca="1">IFERROR('Data Input'!W78,0)</f>
        <v/>
      </c>
      <c r="H26" s="54" t="str">
        <f ca="1">IFERROR('Data Input'!J78,0)</f>
        <v/>
      </c>
      <c r="I26" s="52" t="str">
        <f ca="1">IFERROR('Data Input'!I78,0)</f>
        <v/>
      </c>
      <c r="J26" s="52" t="str">
        <f ca="1">IFERROR('Data Input'!M78,0)</f>
        <v/>
      </c>
      <c r="K26" s="52" t="str">
        <f ca="1">IFERROR('Data Input'!N78,0)</f>
        <v/>
      </c>
      <c r="L26" s="52" t="str">
        <f ca="1">IFERROR('Data Input'!O78,0)</f>
        <v/>
      </c>
      <c r="M26" s="52" t="str">
        <f ca="1">IFERROR('Data Input'!P78,0)</f>
        <v/>
      </c>
      <c r="N26" s="43">
        <f ca="1">IFERROR(IF('Data Input'!Q78&lt;&gt;"",'Data Input'!Q78,MIN(100,MAX(0,ROUND(50+(J26*0.4+K26*0.3+L26*0.2+M26*0.1)*200,0)))),0)</f>
        <v>0</v>
      </c>
      <c r="O26" s="17" t="str">
        <f ca="1">IF('Data Input'!S78&lt;&gt;"",'Data Input'!S78,IF(N26&gt;=70,"BUY",IF(N26&gt;=50,"HOLD","SELL")))</f>
        <v>SELL</v>
      </c>
      <c r="P26" s="43">
        <f t="shared" ca="1" si="0"/>
        <v>1</v>
      </c>
      <c r="Q26" s="55">
        <f>'Data Input'!AD78</f>
        <v>0</v>
      </c>
      <c r="R26" s="55">
        <f>'Data Input'!AE78</f>
        <v>-5.0000000000000001E-3</v>
      </c>
      <c r="S26" s="44">
        <f t="shared" si="1"/>
        <v>-5.0000000000000001E-3</v>
      </c>
      <c r="T26" s="17" t="str">
        <f ca="1">IF(ABS(S26)&gt;'Data Input'!$B$9,"REBALANCE",IF(AND(O26="BUY",S26&lt;0),"ADD",IF(AND(O26="SELL",S26&gt;0),"TRIM","HOLD")))</f>
        <v>HOLD</v>
      </c>
      <c r="U26" s="11"/>
      <c r="V26" s="11"/>
    </row>
    <row r="27" spans="1:22" ht="15" customHeight="1" x14ac:dyDescent="0.3">
      <c r="A27" s="51" t="str">
        <f>'Data Input'!A79</f>
        <v>PIMIX</v>
      </c>
      <c r="B27" s="51" t="str">
        <f>'Data Input'!B79</f>
        <v>Bond</v>
      </c>
      <c r="C27" s="51" t="str">
        <f>'Data Input'!C79</f>
        <v>MF</v>
      </c>
      <c r="D27" s="52" t="str">
        <f ca="1">IFERROR('Data Input'!E79,0)</f>
        <v/>
      </c>
      <c r="E27" s="52" t="str">
        <f ca="1">IFERROR('Data Input'!H79,0)</f>
        <v/>
      </c>
      <c r="F27" s="53" t="str">
        <f ca="1">IFERROR('Data Input'!V79,0)</f>
        <v/>
      </c>
      <c r="G27" s="53" t="str">
        <f ca="1">IFERROR('Data Input'!W79,0)</f>
        <v/>
      </c>
      <c r="H27" s="54" t="str">
        <f ca="1">IFERROR('Data Input'!J79,0)</f>
        <v/>
      </c>
      <c r="I27" s="52" t="str">
        <f ca="1">IFERROR('Data Input'!I79,0)</f>
        <v/>
      </c>
      <c r="J27" s="52" t="str">
        <f ca="1">IFERROR('Data Input'!M79,0)</f>
        <v/>
      </c>
      <c r="K27" s="52" t="str">
        <f ca="1">IFERROR('Data Input'!N79,0)</f>
        <v/>
      </c>
      <c r="L27" s="52" t="str">
        <f ca="1">IFERROR('Data Input'!O79,0)</f>
        <v/>
      </c>
      <c r="M27" s="52" t="str">
        <f ca="1">IFERROR('Data Input'!P79,0)</f>
        <v/>
      </c>
      <c r="N27" s="43">
        <f ca="1">IFERROR(IF('Data Input'!Q79&lt;&gt;"",'Data Input'!Q79,MIN(100,MAX(0,ROUND(50+(J27*0.4+K27*0.3+L27*0.2+M27*0.1)*200,0)))),0)</f>
        <v>0</v>
      </c>
      <c r="O27" s="17" t="str">
        <f ca="1">IF('Data Input'!S79&lt;&gt;"",'Data Input'!S79,IF(N27&gt;=70,"BUY",IF(N27&gt;=50,"HOLD","SELL")))</f>
        <v>SELL</v>
      </c>
      <c r="P27" s="43">
        <f t="shared" ca="1" si="0"/>
        <v>1</v>
      </c>
      <c r="Q27" s="55">
        <f>'Data Input'!AD79</f>
        <v>0</v>
      </c>
      <c r="R27" s="55">
        <f>'Data Input'!AE79</f>
        <v>0</v>
      </c>
      <c r="S27" s="44">
        <f t="shared" si="1"/>
        <v>0</v>
      </c>
      <c r="T27" s="17" t="str">
        <f ca="1">IF(ABS(S27)&gt;'Data Input'!$B$9,"REBALANCE",IF(AND(O27="BUY",S27&lt;0),"ADD",IF(AND(O27="SELL",S27&gt;0),"TRIM","HOLD")))</f>
        <v>HOLD</v>
      </c>
      <c r="U27" s="11"/>
      <c r="V27" s="11"/>
    </row>
    <row r="28" spans="1:22" ht="15" customHeight="1" x14ac:dyDescent="0.3">
      <c r="A28" s="46" t="s">
        <v>143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56">
        <f>SUM(Q4:Q27)</f>
        <v>1.0000000000000002</v>
      </c>
      <c r="R28" s="56">
        <f>SUM(R4:R27)</f>
        <v>1.0400000000000005</v>
      </c>
      <c r="S28" s="11"/>
      <c r="T28" s="11"/>
      <c r="U28" s="11"/>
      <c r="V28" s="11"/>
    </row>
    <row r="29" spans="1:22" ht="15" customHeight="1" x14ac:dyDescent="0.3">
      <c r="A29" s="46" t="s">
        <v>144</v>
      </c>
      <c r="B29" s="11"/>
      <c r="C29" s="11"/>
      <c r="D29" s="57">
        <f ca="1">IFERROR(AVERAGE(D4:D27),0)</f>
        <v>0</v>
      </c>
      <c r="E29" s="57">
        <f ca="1">IFERROR(AVERAGE(E4:E27),0)</f>
        <v>0</v>
      </c>
      <c r="F29" s="58">
        <f ca="1">IFERROR(AVERAGE(F4:F27),0)</f>
        <v>0</v>
      </c>
      <c r="G29" s="11"/>
      <c r="H29" s="58">
        <f ca="1">IFERROR(AVERAGE(H4:H27),0)</f>
        <v>0</v>
      </c>
      <c r="I29" s="11"/>
      <c r="J29" s="11"/>
      <c r="K29" s="11"/>
      <c r="L29" s="11"/>
      <c r="M29" s="11"/>
      <c r="N29" s="59">
        <f ca="1">IFERROR(AVERAGE(N4:N27),0)</f>
        <v>0</v>
      </c>
      <c r="O29" s="11"/>
      <c r="P29" s="11"/>
      <c r="Q29" s="11"/>
      <c r="R29" s="11"/>
      <c r="S29" s="11"/>
      <c r="T29" s="11"/>
      <c r="U29" s="11"/>
      <c r="V29" s="11"/>
    </row>
    <row r="30" spans="1:22" ht="15" customHeight="1" x14ac:dyDescent="0.3">
      <c r="A30" s="46" t="s">
        <v>206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7" t="str">
        <f ca="1">COUNTIF(O4:O27,"BUY")&amp;" BUY / "&amp;COUNTIF(O4:O27,"HOLD")&amp;" HOLD / "&amp;COUNTIF(O4:O27,"SELL")&amp;" SELL"</f>
        <v>0 BUY / 0 HOLD / 24 SELL</v>
      </c>
      <c r="P30" s="11"/>
      <c r="Q30" s="11"/>
      <c r="R30" s="11"/>
      <c r="S30" s="11"/>
      <c r="T30" s="11"/>
      <c r="U30" s="11"/>
      <c r="V30" s="11"/>
    </row>
    <row r="31" spans="1:22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C55E"/>
  </sheetPr>
  <dimension ref="A1:O40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4" customWidth="1"/>
    <col min="3" max="3" width="12" customWidth="1"/>
    <col min="4" max="14" width="14" customWidth="1"/>
  </cols>
  <sheetData>
    <row r="1" spans="1:15" ht="17.25" customHeight="1" x14ac:dyDescent="0.3">
      <c r="A1" s="10" t="s">
        <v>207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5" ht="15" customHeight="1" x14ac:dyDescent="0.3">
      <c r="A3" s="18" t="s">
        <v>208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5" ht="15" customHeight="1" x14ac:dyDescent="0.3">
      <c r="A4" s="45" t="s">
        <v>14</v>
      </c>
      <c r="B4" s="11"/>
      <c r="C4" s="45" t="s">
        <v>209</v>
      </c>
      <c r="D4" s="11"/>
      <c r="E4" s="45" t="s">
        <v>210</v>
      </c>
      <c r="F4" s="11"/>
      <c r="G4" s="45" t="s">
        <v>93</v>
      </c>
      <c r="H4" s="11"/>
      <c r="I4" s="45" t="s">
        <v>211</v>
      </c>
      <c r="J4" s="11"/>
      <c r="K4" s="45" t="s">
        <v>212</v>
      </c>
      <c r="L4" s="11"/>
      <c r="M4" s="45" t="s">
        <v>213</v>
      </c>
      <c r="N4" s="11"/>
      <c r="O4" s="45" t="s">
        <v>214</v>
      </c>
    </row>
    <row r="5" spans="1:15" ht="15" customHeight="1" x14ac:dyDescent="0.3">
      <c r="A5" s="60">
        <f ca="1">'Data Input'!B7</f>
        <v>0.16</v>
      </c>
      <c r="B5" s="11"/>
      <c r="C5" s="61">
        <f ca="1">SUMPRODUCT('Asset Analysis'!R4:R27,'Asset Analysis'!D4:D27)</f>
        <v>0</v>
      </c>
      <c r="D5" s="11"/>
      <c r="E5" s="61">
        <f ca="1">SUMPRODUCT('Asset Analysis'!R4:R27,'Asset Analysis'!E4:E27)</f>
        <v>0</v>
      </c>
      <c r="F5" s="11"/>
      <c r="G5" s="42">
        <f ca="1">IF(E5=0,0,(C5-'Data Input'!B4)/E5)</f>
        <v>0</v>
      </c>
      <c r="H5" s="11"/>
      <c r="I5" s="61">
        <f ca="1">IFERROR(AVERAGE('Asset Analysis'!I4:I27),0)</f>
        <v>0</v>
      </c>
      <c r="J5" s="11"/>
      <c r="K5" s="53">
        <f ca="1">SUMPRODUCT('Asset Analysis'!R4:R27,'Asset Analysis'!H4:H27)</f>
        <v>0</v>
      </c>
      <c r="L5" s="11"/>
      <c r="M5" s="62">
        <f>COUNTA('Asset Analysis'!A4:A27)</f>
        <v>24</v>
      </c>
      <c r="N5" s="11"/>
      <c r="O5" s="62">
        <f ca="1">COUNTIF('Asset Analysis'!O4:O27,"BUY")</f>
        <v>0</v>
      </c>
    </row>
    <row r="6" spans="1:15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5" ht="1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5" ht="15" customHeight="1" x14ac:dyDescent="0.3">
      <c r="A8" s="18" t="s">
        <v>215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5" ht="15" customHeight="1" x14ac:dyDescent="0.3">
      <c r="A9" s="45" t="s">
        <v>149</v>
      </c>
      <c r="B9" s="63">
        <f ca="1">'Data Input'!B84</f>
        <v>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5" ht="15" customHeight="1" x14ac:dyDescent="0.3">
      <c r="A10" s="45" t="s">
        <v>150</v>
      </c>
      <c r="B10" s="64" t="str">
        <f ca="1">'Data Input'!B85</f>
        <v>RISK OFF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5" ht="1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5" ht="15" customHeight="1" x14ac:dyDescent="0.3">
      <c r="A12" s="18" t="s">
        <v>216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5" ht="15" customHeight="1" x14ac:dyDescent="0.3">
      <c r="A13" s="32" t="s">
        <v>217</v>
      </c>
      <c r="B13" s="32" t="s">
        <v>218</v>
      </c>
      <c r="C13" s="32" t="s">
        <v>219</v>
      </c>
      <c r="D13" s="32" t="s">
        <v>220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5" ht="15" customHeight="1" x14ac:dyDescent="0.3">
      <c r="A14" s="46" t="s">
        <v>152</v>
      </c>
      <c r="B14" s="63">
        <f ca="1">'Data Input'!B88</f>
        <v>0</v>
      </c>
      <c r="C14" s="63">
        <f ca="1">'Data Input'!B23</f>
        <v>0.04</v>
      </c>
      <c r="D14" s="64" t="str">
        <f ca="1">'Data Input'!C88</f>
        <v>⚠ TRIGGERED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5" ht="15" customHeight="1" x14ac:dyDescent="0.3">
      <c r="A15" s="46" t="s">
        <v>153</v>
      </c>
      <c r="B15" s="63">
        <f ca="1">'Data Input'!B89</f>
        <v>0</v>
      </c>
      <c r="C15" s="63">
        <f ca="1">'Data Input'!B24</f>
        <v>4.9999999999999975E-3</v>
      </c>
      <c r="D15" s="64" t="str">
        <f ca="1">'Data Input'!C89</f>
        <v>⚠ TRIGGERED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5" ht="15" customHeight="1" x14ac:dyDescent="0.3">
      <c r="A16" s="46" t="s">
        <v>154</v>
      </c>
      <c r="B16" s="65">
        <f ca="1">'Data Input'!B90</f>
        <v>0</v>
      </c>
      <c r="C16" s="62" t="str">
        <f ca="1">'Data Input'!B25</f>
        <v/>
      </c>
      <c r="D16" s="64" t="str">
        <f ca="1">'Data Input'!C90</f>
        <v>⚠ TRIGGERED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5" customHeight="1" x14ac:dyDescent="0.3">
      <c r="A17" s="46" t="s">
        <v>155</v>
      </c>
      <c r="B17" s="65">
        <f ca="1">'Data Input'!B91</f>
        <v>0</v>
      </c>
      <c r="C17" s="62" t="str">
        <f ca="1">'Data Input'!B26</f>
        <v/>
      </c>
      <c r="D17" s="64" t="str">
        <f ca="1">'Data Input'!C91</f>
        <v>⚠ TRIGGERED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5" customHeight="1" x14ac:dyDescent="0.3">
      <c r="A18" s="64" t="str">
        <f ca="1">'Data Input'!B92</f>
        <v>⚠ CASH TRIGGER ACTIVE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1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1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</sheetPr>
  <dimension ref="A1:P45"/>
  <sheetViews>
    <sheetView zoomScaleNormal="100" workbookViewId="0"/>
  </sheetViews>
  <sheetFormatPr defaultColWidth="8.6640625" defaultRowHeight="14.4" x14ac:dyDescent="0.3"/>
  <cols>
    <col min="1" max="2" width="8" customWidth="1"/>
    <col min="3" max="3" width="10" customWidth="1"/>
    <col min="4" max="4" width="12" customWidth="1"/>
    <col min="5" max="5" width="8" customWidth="1"/>
    <col min="6" max="6" width="10" customWidth="1"/>
    <col min="7" max="7" width="12" customWidth="1"/>
    <col min="8" max="8" width="10" customWidth="1"/>
    <col min="9" max="9" width="9" customWidth="1"/>
    <col min="10" max="10" width="14" customWidth="1"/>
  </cols>
  <sheetData>
    <row r="1" spans="1:16" ht="17.25" customHeight="1" x14ac:dyDescent="0.3">
      <c r="A1" s="10" t="s">
        <v>221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5" customHeight="1" x14ac:dyDescent="0.3">
      <c r="A3" s="18" t="s">
        <v>222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customHeight="1" x14ac:dyDescent="0.3">
      <c r="A4" s="45" t="s">
        <v>223</v>
      </c>
      <c r="B4" s="66">
        <f ca="1">'Data Input'!B29</f>
        <v>50</v>
      </c>
      <c r="C4" s="45" t="s">
        <v>224</v>
      </c>
      <c r="D4" s="66">
        <f>'Data Input'!B30</f>
        <v>0</v>
      </c>
      <c r="E4" s="45" t="s">
        <v>225</v>
      </c>
      <c r="F4" s="66">
        <f>'Data Input'!B31</f>
        <v>0</v>
      </c>
      <c r="G4" s="45" t="s">
        <v>226</v>
      </c>
      <c r="H4" s="66">
        <f>'Data Input'!B32</f>
        <v>0</v>
      </c>
      <c r="I4" s="11"/>
      <c r="J4" s="11"/>
      <c r="K4" s="11"/>
      <c r="L4" s="11"/>
      <c r="M4" s="11"/>
      <c r="N4" s="11"/>
      <c r="O4" s="11"/>
      <c r="P4" s="11"/>
    </row>
    <row r="5" spans="1:16" ht="1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3">
      <c r="A6" s="18" t="s">
        <v>227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" customHeight="1" x14ac:dyDescent="0.3">
      <c r="A7" s="67" t="s">
        <v>228</v>
      </c>
      <c r="B7" s="67" t="s">
        <v>229</v>
      </c>
      <c r="C7" s="67" t="s">
        <v>230</v>
      </c>
      <c r="D7" s="67" t="s">
        <v>231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5" customHeight="1" x14ac:dyDescent="0.3">
      <c r="A8" s="67" t="s">
        <v>232</v>
      </c>
      <c r="B8" s="67" t="s">
        <v>233</v>
      </c>
      <c r="C8" s="67" t="s">
        <v>234</v>
      </c>
      <c r="D8" s="67" t="s">
        <v>235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15" customHeight="1" x14ac:dyDescent="0.3">
      <c r="A9" s="67" t="s">
        <v>236</v>
      </c>
      <c r="B9" s="67" t="s">
        <v>237</v>
      </c>
      <c r="C9" s="67" t="s">
        <v>238</v>
      </c>
      <c r="D9" s="67" t="s">
        <v>239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5" customHeight="1" x14ac:dyDescent="0.3">
      <c r="A10" s="67" t="s">
        <v>240</v>
      </c>
      <c r="B10" s="67" t="s">
        <v>241</v>
      </c>
      <c r="C10" s="67" t="s">
        <v>242</v>
      </c>
      <c r="D10" s="67" t="s">
        <v>243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customHeight="1" x14ac:dyDescent="0.3">
      <c r="A11" s="67" t="s">
        <v>244</v>
      </c>
      <c r="B11" s="67" t="s">
        <v>245</v>
      </c>
      <c r="C11" s="67" t="s">
        <v>246</v>
      </c>
      <c r="D11" s="67" t="s">
        <v>247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5" customHeight="1" x14ac:dyDescent="0.3">
      <c r="A14" s="18" t="s">
        <v>248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customHeight="1" x14ac:dyDescent="0.3">
      <c r="A15" s="32" t="s">
        <v>72</v>
      </c>
      <c r="B15" s="32" t="s">
        <v>223</v>
      </c>
      <c r="C15" s="32" t="s">
        <v>224</v>
      </c>
      <c r="D15" s="32" t="s">
        <v>225</v>
      </c>
      <c r="E15" s="32" t="s">
        <v>226</v>
      </c>
      <c r="F15" s="32" t="s">
        <v>249</v>
      </c>
      <c r="G15" s="32" t="s">
        <v>250</v>
      </c>
      <c r="H15" s="32" t="s">
        <v>251</v>
      </c>
      <c r="I15" s="32" t="s">
        <v>252</v>
      </c>
      <c r="J15" s="32" t="s">
        <v>253</v>
      </c>
      <c r="K15" s="11"/>
      <c r="L15" s="11"/>
      <c r="M15" s="11"/>
      <c r="N15" s="11"/>
      <c r="O15" s="11"/>
      <c r="P15" s="11"/>
    </row>
    <row r="16" spans="1:16" ht="15" customHeight="1" x14ac:dyDescent="0.3">
      <c r="A16" s="64" t="str">
        <f>'Data Input'!A56</f>
        <v>SPY</v>
      </c>
      <c r="B16" s="62">
        <f ca="1">'Data Input'!Z56</f>
        <v>0</v>
      </c>
      <c r="C16" s="62">
        <f ca="1">'Data Input'!AA56</f>
        <v>0</v>
      </c>
      <c r="D16" s="62">
        <f ca="1">'Data Input'!AB56</f>
        <v>0</v>
      </c>
      <c r="E16" s="62">
        <f ca="1">'Asset Analysis'!N4</f>
        <v>0</v>
      </c>
      <c r="F16" s="62">
        <f ca="1">'Data Input'!AC56</f>
        <v>0</v>
      </c>
      <c r="G16" s="17" t="str">
        <f t="shared" ref="G16:G39" ca="1" si="0">IF(AND(F16&gt;=70,I16&gt;=3),"STRONG BUY",IF(AND(F16&gt;=60,I16&gt;=2),"BUY",IF(AND(F16&lt;35),"STRONG SELL",IF(AND(F16&lt;45,I16&lt;=1),"SELL","HOLD"))))</f>
        <v>STRONG SELL</v>
      </c>
      <c r="H16" s="17" t="str">
        <f t="shared" ref="H16:H39" ca="1" si="1">IF(OR(G16="STRONG BUY",G16="STRONG SELL"),"HIGH",IF(OR(G16="BUY",G16="SELL"),"MEDIUM",IF(G16="HOLD","NEUTRAL","LOW")))</f>
        <v>HIGH</v>
      </c>
      <c r="I16" s="43">
        <f t="shared" ref="I16:I39" ca="1" si="2">IF(B16&gt;=60,1,0)+IF(C16&gt;=60,1,0)+IF(D16&gt;=60,1,0)+IF(E16&gt;=60,1,0)</f>
        <v>0</v>
      </c>
      <c r="J16" s="17" t="str">
        <f t="shared" ref="J16:J39" ca="1" si="3">IF((MAX(B16:E16)-MIN(B16:E16))&gt;35,"⚠ DIVERGENCE","")</f>
        <v/>
      </c>
      <c r="K16" s="11"/>
      <c r="L16" s="11"/>
      <c r="M16" s="11"/>
      <c r="N16" s="11"/>
      <c r="O16" s="11"/>
      <c r="P16" s="11"/>
    </row>
    <row r="17" spans="1:16" ht="15" customHeight="1" x14ac:dyDescent="0.3">
      <c r="A17" s="64" t="str">
        <f>'Data Input'!A57</f>
        <v>QQQ</v>
      </c>
      <c r="B17" s="62">
        <f ca="1">'Data Input'!Z57</f>
        <v>0</v>
      </c>
      <c r="C17" s="62">
        <f ca="1">'Data Input'!AA57</f>
        <v>0</v>
      </c>
      <c r="D17" s="62">
        <f ca="1">'Data Input'!AB57</f>
        <v>0</v>
      </c>
      <c r="E17" s="62">
        <f ca="1">'Asset Analysis'!N5</f>
        <v>0</v>
      </c>
      <c r="F17" s="62">
        <f ca="1">'Data Input'!AC57</f>
        <v>0</v>
      </c>
      <c r="G17" s="17" t="str">
        <f t="shared" ca="1" si="0"/>
        <v>STRONG SELL</v>
      </c>
      <c r="H17" s="17" t="str">
        <f t="shared" ca="1" si="1"/>
        <v>HIGH</v>
      </c>
      <c r="I17" s="43">
        <f t="shared" ca="1" si="2"/>
        <v>0</v>
      </c>
      <c r="J17" s="17" t="str">
        <f t="shared" ca="1" si="3"/>
        <v/>
      </c>
      <c r="K17" s="11"/>
      <c r="L17" s="11"/>
      <c r="M17" s="11"/>
      <c r="N17" s="11"/>
      <c r="O17" s="11"/>
      <c r="P17" s="11"/>
    </row>
    <row r="18" spans="1:16" ht="15" customHeight="1" x14ac:dyDescent="0.3">
      <c r="A18" s="64" t="str">
        <f>'Data Input'!A58</f>
        <v>IWM</v>
      </c>
      <c r="B18" s="62">
        <f ca="1">'Data Input'!Z58</f>
        <v>0</v>
      </c>
      <c r="C18" s="62">
        <f ca="1">'Data Input'!AA58</f>
        <v>0</v>
      </c>
      <c r="D18" s="62">
        <f ca="1">'Data Input'!AB58</f>
        <v>0</v>
      </c>
      <c r="E18" s="62">
        <f ca="1">'Asset Analysis'!N6</f>
        <v>0</v>
      </c>
      <c r="F18" s="62">
        <f ca="1">'Data Input'!AC58</f>
        <v>0</v>
      </c>
      <c r="G18" s="17" t="str">
        <f t="shared" ca="1" si="0"/>
        <v>STRONG SELL</v>
      </c>
      <c r="H18" s="17" t="str">
        <f t="shared" ca="1" si="1"/>
        <v>HIGH</v>
      </c>
      <c r="I18" s="43">
        <f t="shared" ca="1" si="2"/>
        <v>0</v>
      </c>
      <c r="J18" s="17" t="str">
        <f t="shared" ca="1" si="3"/>
        <v/>
      </c>
      <c r="K18" s="11"/>
      <c r="L18" s="11"/>
      <c r="M18" s="11"/>
      <c r="N18" s="11"/>
      <c r="O18" s="11"/>
      <c r="P18" s="11"/>
    </row>
    <row r="19" spans="1:16" ht="15" customHeight="1" x14ac:dyDescent="0.3">
      <c r="A19" s="64" t="str">
        <f>'Data Input'!A59</f>
        <v>EFA</v>
      </c>
      <c r="B19" s="62">
        <f ca="1">'Data Input'!Z59</f>
        <v>0</v>
      </c>
      <c r="C19" s="62">
        <f ca="1">'Data Input'!AA59</f>
        <v>0</v>
      </c>
      <c r="D19" s="62">
        <f ca="1">'Data Input'!AB59</f>
        <v>0</v>
      </c>
      <c r="E19" s="62">
        <f ca="1">'Asset Analysis'!N7</f>
        <v>0</v>
      </c>
      <c r="F19" s="62">
        <f ca="1">'Data Input'!AC59</f>
        <v>0</v>
      </c>
      <c r="G19" s="17" t="str">
        <f t="shared" ca="1" si="0"/>
        <v>STRONG SELL</v>
      </c>
      <c r="H19" s="17" t="str">
        <f t="shared" ca="1" si="1"/>
        <v>HIGH</v>
      </c>
      <c r="I19" s="43">
        <f t="shared" ca="1" si="2"/>
        <v>0</v>
      </c>
      <c r="J19" s="17" t="str">
        <f t="shared" ca="1" si="3"/>
        <v/>
      </c>
      <c r="K19" s="11"/>
      <c r="L19" s="11"/>
      <c r="M19" s="11"/>
      <c r="N19" s="11"/>
      <c r="O19" s="11"/>
      <c r="P19" s="11"/>
    </row>
    <row r="20" spans="1:16" ht="15" customHeight="1" x14ac:dyDescent="0.3">
      <c r="A20" s="64" t="str">
        <f>'Data Input'!A60</f>
        <v>EEM</v>
      </c>
      <c r="B20" s="62">
        <f ca="1">'Data Input'!Z60</f>
        <v>0</v>
      </c>
      <c r="C20" s="62">
        <f ca="1">'Data Input'!AA60</f>
        <v>0</v>
      </c>
      <c r="D20" s="62">
        <f ca="1">'Data Input'!AB60</f>
        <v>0</v>
      </c>
      <c r="E20" s="62">
        <f ca="1">'Asset Analysis'!N8</f>
        <v>0</v>
      </c>
      <c r="F20" s="62">
        <f ca="1">'Data Input'!AC60</f>
        <v>0</v>
      </c>
      <c r="G20" s="17" t="str">
        <f t="shared" ca="1" si="0"/>
        <v>STRONG SELL</v>
      </c>
      <c r="H20" s="17" t="str">
        <f t="shared" ca="1" si="1"/>
        <v>HIGH</v>
      </c>
      <c r="I20" s="43">
        <f t="shared" ca="1" si="2"/>
        <v>0</v>
      </c>
      <c r="J20" s="17" t="str">
        <f t="shared" ca="1" si="3"/>
        <v/>
      </c>
      <c r="K20" s="11"/>
      <c r="L20" s="11"/>
      <c r="M20" s="11"/>
      <c r="N20" s="11"/>
      <c r="O20" s="11"/>
      <c r="P20" s="11"/>
    </row>
    <row r="21" spans="1:16" ht="15" customHeight="1" x14ac:dyDescent="0.3">
      <c r="A21" s="64" t="str">
        <f>'Data Input'!A61</f>
        <v>AGG</v>
      </c>
      <c r="B21" s="62">
        <f ca="1">'Data Input'!Z61</f>
        <v>0</v>
      </c>
      <c r="C21" s="62">
        <f ca="1">'Data Input'!AA61</f>
        <v>0</v>
      </c>
      <c r="D21" s="62">
        <f ca="1">'Data Input'!AB61</f>
        <v>0</v>
      </c>
      <c r="E21" s="62">
        <f ca="1">'Asset Analysis'!N9</f>
        <v>0</v>
      </c>
      <c r="F21" s="62">
        <f ca="1">'Data Input'!AC61</f>
        <v>0</v>
      </c>
      <c r="G21" s="17" t="str">
        <f t="shared" ca="1" si="0"/>
        <v>STRONG SELL</v>
      </c>
      <c r="H21" s="17" t="str">
        <f t="shared" ca="1" si="1"/>
        <v>HIGH</v>
      </c>
      <c r="I21" s="43">
        <f t="shared" ca="1" si="2"/>
        <v>0</v>
      </c>
      <c r="J21" s="17" t="str">
        <f t="shared" ca="1" si="3"/>
        <v/>
      </c>
      <c r="K21" s="11"/>
      <c r="L21" s="11"/>
      <c r="M21" s="11"/>
      <c r="N21" s="11"/>
      <c r="O21" s="11"/>
      <c r="P21" s="11"/>
    </row>
    <row r="22" spans="1:16" ht="15" customHeight="1" x14ac:dyDescent="0.3">
      <c r="A22" s="64" t="str">
        <f>'Data Input'!A62</f>
        <v>TLT</v>
      </c>
      <c r="B22" s="62">
        <f ca="1">'Data Input'!Z62</f>
        <v>0</v>
      </c>
      <c r="C22" s="62">
        <f ca="1">'Data Input'!AA62</f>
        <v>0</v>
      </c>
      <c r="D22" s="62">
        <f ca="1">'Data Input'!AB62</f>
        <v>0</v>
      </c>
      <c r="E22" s="62">
        <f ca="1">'Asset Analysis'!N10</f>
        <v>0</v>
      </c>
      <c r="F22" s="62">
        <f ca="1">'Data Input'!AC62</f>
        <v>0</v>
      </c>
      <c r="G22" s="17" t="str">
        <f t="shared" ca="1" si="0"/>
        <v>STRONG SELL</v>
      </c>
      <c r="H22" s="17" t="str">
        <f t="shared" ca="1" si="1"/>
        <v>HIGH</v>
      </c>
      <c r="I22" s="43">
        <f t="shared" ca="1" si="2"/>
        <v>0</v>
      </c>
      <c r="J22" s="17" t="str">
        <f t="shared" ca="1" si="3"/>
        <v/>
      </c>
      <c r="K22" s="11"/>
      <c r="L22" s="11"/>
      <c r="M22" s="11"/>
      <c r="N22" s="11"/>
      <c r="O22" s="11"/>
      <c r="P22" s="11"/>
    </row>
    <row r="23" spans="1:16" ht="15" customHeight="1" x14ac:dyDescent="0.3">
      <c r="A23" s="64" t="str">
        <f>'Data Input'!A63</f>
        <v>GLD</v>
      </c>
      <c r="B23" s="62">
        <f ca="1">'Data Input'!Z63</f>
        <v>0</v>
      </c>
      <c r="C23" s="62">
        <f ca="1">'Data Input'!AA63</f>
        <v>0</v>
      </c>
      <c r="D23" s="62">
        <f ca="1">'Data Input'!AB63</f>
        <v>0</v>
      </c>
      <c r="E23" s="62">
        <f ca="1">'Asset Analysis'!N11</f>
        <v>0</v>
      </c>
      <c r="F23" s="62">
        <f ca="1">'Data Input'!AC63</f>
        <v>0</v>
      </c>
      <c r="G23" s="17" t="str">
        <f t="shared" ca="1" si="0"/>
        <v>STRONG SELL</v>
      </c>
      <c r="H23" s="17" t="str">
        <f t="shared" ca="1" si="1"/>
        <v>HIGH</v>
      </c>
      <c r="I23" s="43">
        <f t="shared" ca="1" si="2"/>
        <v>0</v>
      </c>
      <c r="J23" s="17" t="str">
        <f t="shared" ca="1" si="3"/>
        <v/>
      </c>
      <c r="K23" s="11"/>
      <c r="L23" s="11"/>
      <c r="M23" s="11"/>
      <c r="N23" s="11"/>
      <c r="O23" s="11"/>
      <c r="P23" s="11"/>
    </row>
    <row r="24" spans="1:16" ht="15" customHeight="1" x14ac:dyDescent="0.3">
      <c r="A24" s="64" t="str">
        <f>'Data Input'!A64</f>
        <v>VNQ</v>
      </c>
      <c r="B24" s="62">
        <f ca="1">'Data Input'!Z64</f>
        <v>0</v>
      </c>
      <c r="C24" s="62">
        <f ca="1">'Data Input'!AA64</f>
        <v>0</v>
      </c>
      <c r="D24" s="62">
        <f ca="1">'Data Input'!AB64</f>
        <v>0</v>
      </c>
      <c r="E24" s="62">
        <f ca="1">'Asset Analysis'!N12</f>
        <v>0</v>
      </c>
      <c r="F24" s="62">
        <f ca="1">'Data Input'!AC64</f>
        <v>0</v>
      </c>
      <c r="G24" s="17" t="str">
        <f t="shared" ca="1" si="0"/>
        <v>STRONG SELL</v>
      </c>
      <c r="H24" s="17" t="str">
        <f t="shared" ca="1" si="1"/>
        <v>HIGH</v>
      </c>
      <c r="I24" s="43">
        <f t="shared" ca="1" si="2"/>
        <v>0</v>
      </c>
      <c r="J24" s="17" t="str">
        <f t="shared" ca="1" si="3"/>
        <v/>
      </c>
      <c r="K24" s="11"/>
      <c r="L24" s="11"/>
      <c r="M24" s="11"/>
      <c r="N24" s="11"/>
      <c r="O24" s="11"/>
      <c r="P24" s="11"/>
    </row>
    <row r="25" spans="1:16" ht="15" customHeight="1" x14ac:dyDescent="0.3">
      <c r="A25" s="64" t="str">
        <f>'Data Input'!A65</f>
        <v>XLK</v>
      </c>
      <c r="B25" s="62">
        <f ca="1">'Data Input'!Z65</f>
        <v>0</v>
      </c>
      <c r="C25" s="62">
        <f ca="1">'Data Input'!AA65</f>
        <v>0</v>
      </c>
      <c r="D25" s="62">
        <f ca="1">'Data Input'!AB65</f>
        <v>0</v>
      </c>
      <c r="E25" s="62">
        <f ca="1">'Asset Analysis'!N13</f>
        <v>0</v>
      </c>
      <c r="F25" s="62">
        <f ca="1">'Data Input'!AC65</f>
        <v>0</v>
      </c>
      <c r="G25" s="17" t="str">
        <f t="shared" ca="1" si="0"/>
        <v>STRONG SELL</v>
      </c>
      <c r="H25" s="17" t="str">
        <f t="shared" ca="1" si="1"/>
        <v>HIGH</v>
      </c>
      <c r="I25" s="43">
        <f t="shared" ca="1" si="2"/>
        <v>0</v>
      </c>
      <c r="J25" s="17" t="str">
        <f t="shared" ca="1" si="3"/>
        <v/>
      </c>
      <c r="K25" s="11"/>
      <c r="L25" s="11"/>
      <c r="M25" s="11"/>
      <c r="N25" s="11"/>
      <c r="O25" s="11"/>
      <c r="P25" s="11"/>
    </row>
    <row r="26" spans="1:16" ht="15" customHeight="1" x14ac:dyDescent="0.3">
      <c r="A26" s="64" t="str">
        <f>'Data Input'!A66</f>
        <v>XLV</v>
      </c>
      <c r="B26" s="62">
        <f ca="1">'Data Input'!Z66</f>
        <v>0</v>
      </c>
      <c r="C26" s="62">
        <f ca="1">'Data Input'!AA66</f>
        <v>0</v>
      </c>
      <c r="D26" s="62">
        <f ca="1">'Data Input'!AB66</f>
        <v>0</v>
      </c>
      <c r="E26" s="62">
        <f ca="1">'Asset Analysis'!N14</f>
        <v>0</v>
      </c>
      <c r="F26" s="62">
        <f ca="1">'Data Input'!AC66</f>
        <v>0</v>
      </c>
      <c r="G26" s="17" t="str">
        <f t="shared" ca="1" si="0"/>
        <v>STRONG SELL</v>
      </c>
      <c r="H26" s="17" t="str">
        <f t="shared" ca="1" si="1"/>
        <v>HIGH</v>
      </c>
      <c r="I26" s="43">
        <f t="shared" ca="1" si="2"/>
        <v>0</v>
      </c>
      <c r="J26" s="17" t="str">
        <f t="shared" ca="1" si="3"/>
        <v/>
      </c>
      <c r="K26" s="11"/>
      <c r="L26" s="11"/>
      <c r="M26" s="11"/>
      <c r="N26" s="11"/>
      <c r="O26" s="11"/>
      <c r="P26" s="11"/>
    </row>
    <row r="27" spans="1:16" ht="15" customHeight="1" x14ac:dyDescent="0.3">
      <c r="A27" s="64" t="str">
        <f>'Data Input'!A67</f>
        <v>XLE</v>
      </c>
      <c r="B27" s="62">
        <f ca="1">'Data Input'!Z67</f>
        <v>0</v>
      </c>
      <c r="C27" s="62">
        <f ca="1">'Data Input'!AA67</f>
        <v>0</v>
      </c>
      <c r="D27" s="62">
        <f ca="1">'Data Input'!AB67</f>
        <v>0</v>
      </c>
      <c r="E27" s="62">
        <f ca="1">'Asset Analysis'!N15</f>
        <v>0</v>
      </c>
      <c r="F27" s="62">
        <f ca="1">'Data Input'!AC67</f>
        <v>0</v>
      </c>
      <c r="G27" s="17" t="str">
        <f t="shared" ca="1" si="0"/>
        <v>STRONG SELL</v>
      </c>
      <c r="H27" s="17" t="str">
        <f t="shared" ca="1" si="1"/>
        <v>HIGH</v>
      </c>
      <c r="I27" s="43">
        <f t="shared" ca="1" si="2"/>
        <v>0</v>
      </c>
      <c r="J27" s="17" t="str">
        <f t="shared" ca="1" si="3"/>
        <v/>
      </c>
      <c r="K27" s="11"/>
      <c r="L27" s="11"/>
      <c r="M27" s="11"/>
      <c r="N27" s="11"/>
      <c r="O27" s="11"/>
      <c r="P27" s="11"/>
    </row>
    <row r="28" spans="1:16" ht="15" customHeight="1" x14ac:dyDescent="0.3">
      <c r="A28" s="64" t="str">
        <f>'Data Input'!A68</f>
        <v>XLF</v>
      </c>
      <c r="B28" s="62">
        <f ca="1">'Data Input'!Z68</f>
        <v>0</v>
      </c>
      <c r="C28" s="62">
        <f ca="1">'Data Input'!AA68</f>
        <v>0</v>
      </c>
      <c r="D28" s="62">
        <f ca="1">'Data Input'!AB68</f>
        <v>0</v>
      </c>
      <c r="E28" s="62">
        <f ca="1">'Asset Analysis'!N16</f>
        <v>0</v>
      </c>
      <c r="F28" s="62">
        <f ca="1">'Data Input'!AC68</f>
        <v>0</v>
      </c>
      <c r="G28" s="17" t="str">
        <f t="shared" ca="1" si="0"/>
        <v>STRONG SELL</v>
      </c>
      <c r="H28" s="17" t="str">
        <f t="shared" ca="1" si="1"/>
        <v>HIGH</v>
      </c>
      <c r="I28" s="43">
        <f t="shared" ca="1" si="2"/>
        <v>0</v>
      </c>
      <c r="J28" s="17" t="str">
        <f t="shared" ca="1" si="3"/>
        <v/>
      </c>
      <c r="K28" s="11"/>
      <c r="L28" s="11"/>
      <c r="M28" s="11"/>
      <c r="N28" s="11"/>
      <c r="O28" s="11"/>
      <c r="P28" s="11"/>
    </row>
    <row r="29" spans="1:16" ht="15" customHeight="1" x14ac:dyDescent="0.3">
      <c r="A29" s="64" t="str">
        <f>'Data Input'!A69</f>
        <v>DBMF</v>
      </c>
      <c r="B29" s="62">
        <f ca="1">'Data Input'!Z69</f>
        <v>0</v>
      </c>
      <c r="C29" s="62">
        <f ca="1">'Data Input'!AA69</f>
        <v>0</v>
      </c>
      <c r="D29" s="62">
        <f ca="1">'Data Input'!AB69</f>
        <v>0</v>
      </c>
      <c r="E29" s="62">
        <f ca="1">'Asset Analysis'!N17</f>
        <v>0</v>
      </c>
      <c r="F29" s="62">
        <f ca="1">'Data Input'!AC69</f>
        <v>0</v>
      </c>
      <c r="G29" s="17" t="str">
        <f t="shared" ca="1" si="0"/>
        <v>STRONG SELL</v>
      </c>
      <c r="H29" s="17" t="str">
        <f t="shared" ca="1" si="1"/>
        <v>HIGH</v>
      </c>
      <c r="I29" s="43">
        <f t="shared" ca="1" si="2"/>
        <v>0</v>
      </c>
      <c r="J29" s="17" t="str">
        <f t="shared" ca="1" si="3"/>
        <v/>
      </c>
      <c r="K29" s="11"/>
      <c r="L29" s="11"/>
      <c r="M29" s="11"/>
      <c r="N29" s="11"/>
      <c r="O29" s="11"/>
      <c r="P29" s="11"/>
    </row>
    <row r="30" spans="1:16" ht="15" customHeight="1" x14ac:dyDescent="0.3">
      <c r="A30" s="64" t="str">
        <f>'Data Input'!A70</f>
        <v>CTA</v>
      </c>
      <c r="B30" s="62">
        <f ca="1">'Data Input'!Z70</f>
        <v>0</v>
      </c>
      <c r="C30" s="62">
        <f ca="1">'Data Input'!AA70</f>
        <v>0</v>
      </c>
      <c r="D30" s="62">
        <f ca="1">'Data Input'!AB70</f>
        <v>0</v>
      </c>
      <c r="E30" s="62">
        <f ca="1">'Asset Analysis'!N18</f>
        <v>0</v>
      </c>
      <c r="F30" s="62">
        <f ca="1">'Data Input'!AC70</f>
        <v>0</v>
      </c>
      <c r="G30" s="17" t="str">
        <f t="shared" ca="1" si="0"/>
        <v>STRONG SELL</v>
      </c>
      <c r="H30" s="17" t="str">
        <f t="shared" ca="1" si="1"/>
        <v>HIGH</v>
      </c>
      <c r="I30" s="43">
        <f t="shared" ca="1" si="2"/>
        <v>0</v>
      </c>
      <c r="J30" s="17" t="str">
        <f t="shared" ca="1" si="3"/>
        <v/>
      </c>
      <c r="K30" s="11"/>
      <c r="L30" s="11"/>
      <c r="M30" s="11"/>
      <c r="N30" s="11"/>
      <c r="O30" s="11"/>
      <c r="P30" s="11"/>
    </row>
    <row r="31" spans="1:16" ht="15" customHeight="1" x14ac:dyDescent="0.3">
      <c r="A31" s="64" t="str">
        <f>'Data Input'!A71</f>
        <v>KMLM</v>
      </c>
      <c r="B31" s="62">
        <f ca="1">'Data Input'!Z71</f>
        <v>0</v>
      </c>
      <c r="C31" s="62">
        <f ca="1">'Data Input'!AA71</f>
        <v>0</v>
      </c>
      <c r="D31" s="62">
        <f ca="1">'Data Input'!AB71</f>
        <v>0</v>
      </c>
      <c r="E31" s="62">
        <f ca="1">'Asset Analysis'!N19</f>
        <v>0</v>
      </c>
      <c r="F31" s="62">
        <f ca="1">'Data Input'!AC71</f>
        <v>0</v>
      </c>
      <c r="G31" s="17" t="str">
        <f t="shared" ca="1" si="0"/>
        <v>STRONG SELL</v>
      </c>
      <c r="H31" s="17" t="str">
        <f t="shared" ca="1" si="1"/>
        <v>HIGH</v>
      </c>
      <c r="I31" s="43">
        <f t="shared" ca="1" si="2"/>
        <v>0</v>
      </c>
      <c r="J31" s="17" t="str">
        <f t="shared" ca="1" si="3"/>
        <v/>
      </c>
      <c r="K31" s="11"/>
      <c r="L31" s="11"/>
      <c r="M31" s="11"/>
      <c r="N31" s="11"/>
      <c r="O31" s="11"/>
      <c r="P31" s="11"/>
    </row>
    <row r="32" spans="1:16" ht="15" customHeight="1" x14ac:dyDescent="0.3">
      <c r="A32" s="64" t="str">
        <f>'Data Input'!A72</f>
        <v>BTAL</v>
      </c>
      <c r="B32" s="62">
        <f ca="1">'Data Input'!Z72</f>
        <v>0</v>
      </c>
      <c r="C32" s="62">
        <f ca="1">'Data Input'!AA72</f>
        <v>0</v>
      </c>
      <c r="D32" s="62">
        <f ca="1">'Data Input'!AB72</f>
        <v>0</v>
      </c>
      <c r="E32" s="62">
        <f ca="1">'Asset Analysis'!N20</f>
        <v>0</v>
      </c>
      <c r="F32" s="62">
        <f ca="1">'Data Input'!AC72</f>
        <v>0</v>
      </c>
      <c r="G32" s="17" t="str">
        <f t="shared" ca="1" si="0"/>
        <v>STRONG SELL</v>
      </c>
      <c r="H32" s="17" t="str">
        <f t="shared" ca="1" si="1"/>
        <v>HIGH</v>
      </c>
      <c r="I32" s="43">
        <f t="shared" ca="1" si="2"/>
        <v>0</v>
      </c>
      <c r="J32" s="17" t="str">
        <f t="shared" ca="1" si="3"/>
        <v/>
      </c>
      <c r="K32" s="11"/>
      <c r="L32" s="11"/>
      <c r="M32" s="11"/>
      <c r="N32" s="11"/>
      <c r="O32" s="11"/>
      <c r="P32" s="11"/>
    </row>
    <row r="33" spans="1:16" ht="15" customHeight="1" x14ac:dyDescent="0.3">
      <c r="A33" s="64" t="str">
        <f>'Data Input'!A73</f>
        <v>TAIL</v>
      </c>
      <c r="B33" s="62">
        <f ca="1">'Data Input'!Z73</f>
        <v>0</v>
      </c>
      <c r="C33" s="62">
        <f ca="1">'Data Input'!AA73</f>
        <v>0</v>
      </c>
      <c r="D33" s="62">
        <f ca="1">'Data Input'!AB73</f>
        <v>0</v>
      </c>
      <c r="E33" s="62">
        <f ca="1">'Asset Analysis'!N21</f>
        <v>0</v>
      </c>
      <c r="F33" s="62">
        <f ca="1">'Data Input'!AC73</f>
        <v>0</v>
      </c>
      <c r="G33" s="17" t="str">
        <f t="shared" ca="1" si="0"/>
        <v>STRONG SELL</v>
      </c>
      <c r="H33" s="17" t="str">
        <f t="shared" ca="1" si="1"/>
        <v>HIGH</v>
      </c>
      <c r="I33" s="43">
        <f t="shared" ca="1" si="2"/>
        <v>0</v>
      </c>
      <c r="J33" s="17" t="str">
        <f t="shared" ca="1" si="3"/>
        <v/>
      </c>
      <c r="K33" s="11"/>
      <c r="L33" s="11"/>
      <c r="M33" s="11"/>
      <c r="N33" s="11"/>
      <c r="O33" s="11"/>
      <c r="P33" s="11"/>
    </row>
    <row r="34" spans="1:16" ht="15" customHeight="1" x14ac:dyDescent="0.3">
      <c r="A34" s="64" t="str">
        <f>'Data Input'!A74</f>
        <v>AAPL</v>
      </c>
      <c r="B34" s="62">
        <f ca="1">'Data Input'!Z74</f>
        <v>0</v>
      </c>
      <c r="C34" s="62">
        <f ca="1">'Data Input'!AA74</f>
        <v>0</v>
      </c>
      <c r="D34" s="62">
        <f ca="1">'Data Input'!AB74</f>
        <v>0</v>
      </c>
      <c r="E34" s="62">
        <f ca="1">'Asset Analysis'!N22</f>
        <v>0</v>
      </c>
      <c r="F34" s="62">
        <f ca="1">'Data Input'!AC74</f>
        <v>0</v>
      </c>
      <c r="G34" s="17" t="str">
        <f t="shared" ca="1" si="0"/>
        <v>STRONG SELL</v>
      </c>
      <c r="H34" s="17" t="str">
        <f t="shared" ca="1" si="1"/>
        <v>HIGH</v>
      </c>
      <c r="I34" s="43">
        <f t="shared" ca="1" si="2"/>
        <v>0</v>
      </c>
      <c r="J34" s="17" t="str">
        <f t="shared" ca="1" si="3"/>
        <v/>
      </c>
      <c r="K34" s="11"/>
      <c r="L34" s="11"/>
      <c r="M34" s="11"/>
      <c r="N34" s="11"/>
      <c r="O34" s="11"/>
      <c r="P34" s="11"/>
    </row>
    <row r="35" spans="1:16" ht="15" customHeight="1" x14ac:dyDescent="0.3">
      <c r="A35" s="64" t="str">
        <f>'Data Input'!A75</f>
        <v>MSFT</v>
      </c>
      <c r="B35" s="62">
        <f ca="1">'Data Input'!Z75</f>
        <v>0</v>
      </c>
      <c r="C35" s="62">
        <f ca="1">'Data Input'!AA75</f>
        <v>0</v>
      </c>
      <c r="D35" s="62">
        <f ca="1">'Data Input'!AB75</f>
        <v>0</v>
      </c>
      <c r="E35" s="62">
        <f ca="1">'Asset Analysis'!N23</f>
        <v>0</v>
      </c>
      <c r="F35" s="62">
        <f ca="1">'Data Input'!AC75</f>
        <v>0</v>
      </c>
      <c r="G35" s="17" t="str">
        <f t="shared" ca="1" si="0"/>
        <v>STRONG SELL</v>
      </c>
      <c r="H35" s="17" t="str">
        <f t="shared" ca="1" si="1"/>
        <v>HIGH</v>
      </c>
      <c r="I35" s="43">
        <f t="shared" ca="1" si="2"/>
        <v>0</v>
      </c>
      <c r="J35" s="17" t="str">
        <f t="shared" ca="1" si="3"/>
        <v/>
      </c>
      <c r="K35" s="11"/>
      <c r="L35" s="11"/>
      <c r="M35" s="11"/>
      <c r="N35" s="11"/>
      <c r="O35" s="11"/>
      <c r="P35" s="11"/>
    </row>
    <row r="36" spans="1:16" ht="15" customHeight="1" x14ac:dyDescent="0.3">
      <c r="A36" s="64" t="str">
        <f>'Data Input'!A76</f>
        <v>NVDA</v>
      </c>
      <c r="B36" s="62">
        <f ca="1">'Data Input'!Z76</f>
        <v>0</v>
      </c>
      <c r="C36" s="62">
        <f ca="1">'Data Input'!AA76</f>
        <v>0</v>
      </c>
      <c r="D36" s="62">
        <f ca="1">'Data Input'!AB76</f>
        <v>0</v>
      </c>
      <c r="E36" s="62">
        <f ca="1">'Asset Analysis'!N24</f>
        <v>0</v>
      </c>
      <c r="F36" s="62">
        <f ca="1">'Data Input'!AC76</f>
        <v>0</v>
      </c>
      <c r="G36" s="17" t="str">
        <f t="shared" ca="1" si="0"/>
        <v>STRONG SELL</v>
      </c>
      <c r="H36" s="17" t="str">
        <f t="shared" ca="1" si="1"/>
        <v>HIGH</v>
      </c>
      <c r="I36" s="43">
        <f t="shared" ca="1" si="2"/>
        <v>0</v>
      </c>
      <c r="J36" s="17" t="str">
        <f t="shared" ca="1" si="3"/>
        <v/>
      </c>
      <c r="K36" s="11"/>
      <c r="L36" s="11"/>
      <c r="M36" s="11"/>
      <c r="N36" s="11"/>
      <c r="O36" s="11"/>
      <c r="P36" s="11"/>
    </row>
    <row r="37" spans="1:16" ht="15" customHeight="1" x14ac:dyDescent="0.3">
      <c r="A37" s="64" t="str">
        <f>'Data Input'!A77</f>
        <v>JPM</v>
      </c>
      <c r="B37" s="62">
        <f ca="1">'Data Input'!Z77</f>
        <v>0</v>
      </c>
      <c r="C37" s="62">
        <f ca="1">'Data Input'!AA77</f>
        <v>0</v>
      </c>
      <c r="D37" s="62">
        <f ca="1">'Data Input'!AB77</f>
        <v>0</v>
      </c>
      <c r="E37" s="62">
        <f ca="1">'Asset Analysis'!N25</f>
        <v>0</v>
      </c>
      <c r="F37" s="62">
        <f ca="1">'Data Input'!AC77</f>
        <v>0</v>
      </c>
      <c r="G37" s="17" t="str">
        <f t="shared" ca="1" si="0"/>
        <v>STRONG SELL</v>
      </c>
      <c r="H37" s="17" t="str">
        <f t="shared" ca="1" si="1"/>
        <v>HIGH</v>
      </c>
      <c r="I37" s="43">
        <f t="shared" ca="1" si="2"/>
        <v>0</v>
      </c>
      <c r="J37" s="17" t="str">
        <f t="shared" ca="1" si="3"/>
        <v/>
      </c>
      <c r="K37" s="11"/>
      <c r="L37" s="11"/>
      <c r="M37" s="11"/>
      <c r="N37" s="11"/>
      <c r="O37" s="11"/>
      <c r="P37" s="11"/>
    </row>
    <row r="38" spans="1:16" ht="15" customHeight="1" x14ac:dyDescent="0.3">
      <c r="A38" s="64" t="str">
        <f>'Data Input'!A78</f>
        <v>VFIAX</v>
      </c>
      <c r="B38" s="62">
        <f ca="1">'Data Input'!Z78</f>
        <v>0</v>
      </c>
      <c r="C38" s="62">
        <f ca="1">'Data Input'!AA78</f>
        <v>0</v>
      </c>
      <c r="D38" s="62">
        <f ca="1">'Data Input'!AB78</f>
        <v>0</v>
      </c>
      <c r="E38" s="62">
        <f ca="1">'Asset Analysis'!N26</f>
        <v>0</v>
      </c>
      <c r="F38" s="62">
        <f ca="1">'Data Input'!AC78</f>
        <v>0</v>
      </c>
      <c r="G38" s="17" t="str">
        <f t="shared" ca="1" si="0"/>
        <v>STRONG SELL</v>
      </c>
      <c r="H38" s="17" t="str">
        <f t="shared" ca="1" si="1"/>
        <v>HIGH</v>
      </c>
      <c r="I38" s="43">
        <f t="shared" ca="1" si="2"/>
        <v>0</v>
      </c>
      <c r="J38" s="17" t="str">
        <f t="shared" ca="1" si="3"/>
        <v/>
      </c>
      <c r="K38" s="11"/>
      <c r="L38" s="11"/>
      <c r="M38" s="11"/>
      <c r="N38" s="11"/>
      <c r="O38" s="11"/>
      <c r="P38" s="11"/>
    </row>
    <row r="39" spans="1:16" ht="15" customHeight="1" x14ac:dyDescent="0.3">
      <c r="A39" s="64" t="str">
        <f>'Data Input'!A79</f>
        <v>PIMIX</v>
      </c>
      <c r="B39" s="62">
        <f ca="1">'Data Input'!Z79</f>
        <v>0</v>
      </c>
      <c r="C39" s="62">
        <f ca="1">'Data Input'!AA79</f>
        <v>0</v>
      </c>
      <c r="D39" s="62">
        <f ca="1">'Data Input'!AB79</f>
        <v>0</v>
      </c>
      <c r="E39" s="62">
        <f ca="1">'Asset Analysis'!N27</f>
        <v>0</v>
      </c>
      <c r="F39" s="62">
        <f ca="1">'Data Input'!AC79</f>
        <v>0</v>
      </c>
      <c r="G39" s="17" t="str">
        <f t="shared" ca="1" si="0"/>
        <v>STRONG SELL</v>
      </c>
      <c r="H39" s="17" t="str">
        <f t="shared" ca="1" si="1"/>
        <v>HIGH</v>
      </c>
      <c r="I39" s="43">
        <f t="shared" ca="1" si="2"/>
        <v>0</v>
      </c>
      <c r="J39" s="17" t="str">
        <f t="shared" ca="1" si="3"/>
        <v/>
      </c>
      <c r="K39" s="11"/>
      <c r="L39" s="11"/>
      <c r="M39" s="11"/>
      <c r="N39" s="11"/>
      <c r="O39" s="11"/>
      <c r="P39" s="11"/>
    </row>
    <row r="40" spans="1:1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15" customHeight="1" x14ac:dyDescent="0.3">
      <c r="A41" s="46" t="s">
        <v>254</v>
      </c>
      <c r="B41" s="11"/>
      <c r="C41" s="11"/>
      <c r="D41" s="11"/>
      <c r="E41" s="11"/>
      <c r="F41" s="48">
        <f ca="1">AVERAGE(F16:F39)</f>
        <v>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ht="15" customHeight="1" x14ac:dyDescent="0.3">
      <c r="A42" s="46" t="s">
        <v>255</v>
      </c>
      <c r="B42" s="11"/>
      <c r="C42" s="11"/>
      <c r="D42" s="11"/>
      <c r="E42" s="11"/>
      <c r="F42" s="43">
        <f ca="1">COUNTIF(G16:G39,"*BUY*")</f>
        <v>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ht="15" customHeight="1" x14ac:dyDescent="0.3">
      <c r="A43" s="46" t="s">
        <v>256</v>
      </c>
      <c r="B43" s="11"/>
      <c r="C43" s="11"/>
      <c r="D43" s="11"/>
      <c r="E43" s="11"/>
      <c r="F43" s="43">
        <f ca="1">COUNTIF(G16:G39,"*SELL*")</f>
        <v>24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15" customHeight="1" x14ac:dyDescent="0.3">
      <c r="A44" s="46" t="s">
        <v>257</v>
      </c>
      <c r="B44" s="11"/>
      <c r="C44" s="11"/>
      <c r="D44" s="11"/>
      <c r="E44" s="11"/>
      <c r="F44" s="43">
        <f ca="1">COUNTIF(J16:J39,"*DIV*")</f>
        <v>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855F7"/>
  </sheetPr>
  <dimension ref="A1:J50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4" customWidth="1"/>
    <col min="3" max="3" width="12" customWidth="1"/>
    <col min="4" max="4" width="30" customWidth="1"/>
    <col min="5" max="5" width="10" customWidth="1"/>
    <col min="6" max="7" width="14" customWidth="1"/>
  </cols>
  <sheetData>
    <row r="1" spans="1:10" ht="17.25" customHeight="1" x14ac:dyDescent="0.3">
      <c r="A1" s="10" t="s">
        <v>258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3">
      <c r="A3" s="18" t="s">
        <v>259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15" customHeight="1" x14ac:dyDescent="0.3">
      <c r="A4" s="32" t="s">
        <v>260</v>
      </c>
      <c r="B4" s="32" t="s">
        <v>261</v>
      </c>
      <c r="C4" s="32" t="s">
        <v>262</v>
      </c>
      <c r="D4" s="32" t="s">
        <v>263</v>
      </c>
      <c r="E4" s="32" t="s">
        <v>264</v>
      </c>
      <c r="F4" s="11"/>
      <c r="G4" s="11"/>
      <c r="H4" s="11"/>
      <c r="I4" s="11"/>
      <c r="J4" s="11"/>
    </row>
    <row r="5" spans="1:10" ht="15" customHeight="1" x14ac:dyDescent="0.3">
      <c r="A5" s="19" t="s">
        <v>265</v>
      </c>
      <c r="B5" s="68">
        <f ca="1">'Data Input'!B21</f>
        <v>18</v>
      </c>
      <c r="C5" s="43">
        <f ca="1">IF(B5&gt;30,25,IF(B5&gt;25,22,IF(B5&gt;20,18,IF(B5&gt;15,12,6))))</f>
        <v>12</v>
      </c>
      <c r="D5" s="67">
        <v>25</v>
      </c>
      <c r="E5" s="19" t="s">
        <v>266</v>
      </c>
      <c r="F5" s="11"/>
      <c r="G5" s="11"/>
      <c r="H5" s="11"/>
      <c r="I5" s="11"/>
      <c r="J5" s="11"/>
    </row>
    <row r="6" spans="1:10" ht="15" customHeight="1" x14ac:dyDescent="0.3">
      <c r="A6" s="19" t="s">
        <v>267</v>
      </c>
      <c r="B6" s="64" t="str">
        <f ca="1">Dashboard!B10</f>
        <v>RISK OFF</v>
      </c>
      <c r="C6" s="43">
        <f ca="1">IF(B6="RISK OFF",25,IF(B6="DEFENSIVE",20,IF(B6="CAUTION",12,5)))</f>
        <v>25</v>
      </c>
      <c r="D6" s="67">
        <v>25</v>
      </c>
      <c r="E6" s="19" t="s">
        <v>268</v>
      </c>
      <c r="F6" s="11"/>
      <c r="G6" s="11"/>
      <c r="H6" s="11"/>
      <c r="I6" s="11"/>
      <c r="J6" s="11"/>
    </row>
    <row r="7" spans="1:10" ht="15" customHeight="1" x14ac:dyDescent="0.3">
      <c r="A7" s="19" t="s">
        <v>269</v>
      </c>
      <c r="B7" s="62">
        <f ca="1">COUNTIF(Dashboard!D14:D17,"⚠ TRIGGERED")</f>
        <v>4</v>
      </c>
      <c r="C7" s="43">
        <f ca="1">MIN(25,B7*7)</f>
        <v>25</v>
      </c>
      <c r="D7" s="67">
        <v>25</v>
      </c>
      <c r="E7" s="19" t="s">
        <v>270</v>
      </c>
      <c r="F7" s="11"/>
      <c r="G7" s="11"/>
      <c r="H7" s="11"/>
      <c r="I7" s="11"/>
      <c r="J7" s="11"/>
    </row>
    <row r="8" spans="1:10" ht="15" customHeight="1" x14ac:dyDescent="0.3">
      <c r="A8" s="19" t="s">
        <v>271</v>
      </c>
      <c r="B8" s="63">
        <f ca="1">Dashboard!B9</f>
        <v>0</v>
      </c>
      <c r="C8" s="43">
        <f ca="1">IF(B8&lt;0.3,25,IF(B8&lt;0.4,20,IF(B8&lt;0.5,15,IF(B8&lt;0.6,8,3))))</f>
        <v>25</v>
      </c>
      <c r="D8" s="67">
        <v>25</v>
      </c>
      <c r="E8" s="19" t="s">
        <v>272</v>
      </c>
      <c r="F8" s="11"/>
      <c r="G8" s="11"/>
      <c r="H8" s="11"/>
      <c r="I8" s="11"/>
      <c r="J8" s="11"/>
    </row>
    <row r="9" spans="1:10" ht="1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ht="19.5" customHeight="1" x14ac:dyDescent="0.3">
      <c r="A10" s="69" t="s">
        <v>273</v>
      </c>
      <c r="B10" s="11"/>
      <c r="C10" s="70">
        <f ca="1">SUM(C5:C8)</f>
        <v>87</v>
      </c>
      <c r="D10" s="67">
        <v>100</v>
      </c>
      <c r="E10" s="11"/>
      <c r="F10" s="11"/>
      <c r="G10" s="11"/>
      <c r="H10" s="11"/>
      <c r="I10" s="11"/>
      <c r="J10" s="11"/>
    </row>
    <row r="11" spans="1:10" ht="15" customHeight="1" x14ac:dyDescent="0.3">
      <c r="A11" s="46" t="s">
        <v>274</v>
      </c>
      <c r="B11" s="11"/>
      <c r="C11" s="17" t="str">
        <f ca="1">IF(C10&gt;=75,"MAXIMUM BUFFER",IF(C10&gt;=55,"ELEVATED BUFFER",IF(C10&gt;=35,"STANDARD BUFFER","MINIMAL / OPPORTUNISTIC")))</f>
        <v>MAXIMUM BUFFER</v>
      </c>
      <c r="D11" s="11"/>
      <c r="E11" s="11"/>
      <c r="F11" s="11"/>
      <c r="G11" s="11"/>
      <c r="H11" s="11"/>
      <c r="I11" s="11"/>
      <c r="J11" s="11"/>
    </row>
    <row r="12" spans="1:10" ht="15" customHeight="1" x14ac:dyDescent="0.3">
      <c r="A12" s="11"/>
      <c r="B12" s="11"/>
      <c r="C12" s="17" t="str">
        <f ca="1">IF(C10&gt;=75,"IMMEDIATE",IF(C10&gt;=55,"THIS WEEK",IF(C10&gt;=35,"NEXT REBALANCE","MONITOR")))</f>
        <v>IMMEDIATE</v>
      </c>
      <c r="D12" s="11"/>
      <c r="E12" s="11"/>
      <c r="F12" s="11"/>
      <c r="G12" s="11"/>
      <c r="H12" s="11"/>
      <c r="I12" s="11"/>
      <c r="J12" s="11"/>
    </row>
    <row r="13" spans="1:10" ht="15" customHeight="1" x14ac:dyDescent="0.3">
      <c r="A13" s="46" t="s">
        <v>275</v>
      </c>
      <c r="B13" s="17" t="str">
        <f ca="1">IF(C10&gt;=75,"25-35%",IF(C10&gt;=55,"15-28%",IF(C10&gt;=35,"8-20%","0-12%")))</f>
        <v>25-35%</v>
      </c>
      <c r="C13" s="11"/>
      <c r="D13" s="11"/>
      <c r="E13" s="11"/>
      <c r="F13" s="11"/>
      <c r="G13" s="11"/>
      <c r="H13" s="11"/>
      <c r="I13" s="11"/>
      <c r="J13" s="11"/>
    </row>
    <row r="14" spans="1:10" ht="15" customHeight="1" x14ac:dyDescent="0.3">
      <c r="A14" s="45" t="s">
        <v>276</v>
      </c>
      <c r="B14" s="30">
        <f ca="1">IF(C10&gt;=75,0.25,IF(C10&gt;=55,0.15,IF(C10&gt;=35,0.08,0)))</f>
        <v>0.25</v>
      </c>
      <c r="C14" s="11"/>
      <c r="D14" s="11"/>
      <c r="E14" s="11"/>
      <c r="F14" s="11"/>
      <c r="G14" s="11"/>
      <c r="H14" s="11"/>
      <c r="I14" s="11"/>
      <c r="J14" s="11"/>
    </row>
    <row r="15" spans="1:10" ht="15" customHeight="1" x14ac:dyDescent="0.3">
      <c r="A15" s="45" t="s">
        <v>277</v>
      </c>
      <c r="B15" s="30">
        <f ca="1">IF(C10&gt;=75,0.3,IF(C10&gt;=55,0.22,IF(C10&gt;=35,0.15,0.08)))</f>
        <v>0.3</v>
      </c>
      <c r="C15" s="11"/>
      <c r="D15" s="11"/>
      <c r="E15" s="11"/>
      <c r="F15" s="11"/>
      <c r="G15" s="11"/>
      <c r="H15" s="11"/>
      <c r="I15" s="11"/>
      <c r="J15" s="11"/>
    </row>
    <row r="16" spans="1:10" ht="15" customHeight="1" x14ac:dyDescent="0.3">
      <c r="A16" s="45" t="s">
        <v>278</v>
      </c>
      <c r="B16" s="30">
        <f ca="1">IF(C10&gt;=75,0.35,IF(C10&gt;=55,0.28,IF(C10&gt;=35,0.2,0.12)))</f>
        <v>0.35</v>
      </c>
      <c r="C16" s="11"/>
      <c r="D16" s="11"/>
      <c r="E16" s="11"/>
      <c r="F16" s="11"/>
      <c r="G16" s="11"/>
      <c r="H16" s="11"/>
      <c r="I16" s="11"/>
      <c r="J16" s="11"/>
    </row>
    <row r="17" spans="1:10" ht="15" customHeight="1" x14ac:dyDescent="0.3">
      <c r="A17" s="46" t="s">
        <v>279</v>
      </c>
      <c r="B17" s="71">
        <f ca="1">B15*'Data Input'!B7</f>
        <v>4.8000000000000001E-2</v>
      </c>
      <c r="C17" s="11"/>
      <c r="D17" s="11"/>
      <c r="E17" s="11"/>
      <c r="F17" s="11"/>
      <c r="G17" s="11"/>
      <c r="H17" s="11"/>
      <c r="I17" s="11"/>
      <c r="J17" s="11"/>
    </row>
    <row r="18" spans="1:10" ht="1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15" customHeight="1" x14ac:dyDescent="0.3">
      <c r="A20" s="18" t="s">
        <v>280</v>
      </c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5" customHeight="1" x14ac:dyDescent="0.3">
      <c r="A21" s="32" t="s">
        <v>281</v>
      </c>
      <c r="B21" s="32" t="s">
        <v>262</v>
      </c>
      <c r="C21" s="32" t="s">
        <v>282</v>
      </c>
      <c r="D21" s="32" t="s">
        <v>283</v>
      </c>
      <c r="E21" s="32" t="s">
        <v>284</v>
      </c>
      <c r="F21" s="11"/>
      <c r="G21" s="11"/>
      <c r="H21" s="11"/>
      <c r="I21" s="11"/>
      <c r="J21" s="11"/>
    </row>
    <row r="22" spans="1:10" ht="15" customHeight="1" x14ac:dyDescent="0.3">
      <c r="A22" s="46" t="s">
        <v>285</v>
      </c>
      <c r="B22" s="67" t="s">
        <v>286</v>
      </c>
      <c r="C22" s="46" t="s">
        <v>287</v>
      </c>
      <c r="D22" s="67" t="s">
        <v>288</v>
      </c>
      <c r="E22" s="67" t="s">
        <v>289</v>
      </c>
      <c r="F22" s="11"/>
      <c r="G22" s="11"/>
      <c r="H22" s="11"/>
      <c r="I22" s="11"/>
      <c r="J22" s="11"/>
    </row>
    <row r="23" spans="1:10" ht="15" customHeight="1" x14ac:dyDescent="0.3">
      <c r="A23" s="46" t="s">
        <v>290</v>
      </c>
      <c r="B23" s="67" t="s">
        <v>291</v>
      </c>
      <c r="C23" s="46" t="s">
        <v>292</v>
      </c>
      <c r="D23" s="67" t="s">
        <v>293</v>
      </c>
      <c r="E23" s="67" t="s">
        <v>294</v>
      </c>
      <c r="F23" s="11"/>
      <c r="G23" s="11"/>
      <c r="H23" s="11"/>
      <c r="I23" s="11"/>
      <c r="J23" s="11"/>
    </row>
    <row r="24" spans="1:10" ht="15" customHeight="1" x14ac:dyDescent="0.3">
      <c r="A24" s="46" t="s">
        <v>295</v>
      </c>
      <c r="B24" s="67" t="s">
        <v>296</v>
      </c>
      <c r="C24" s="46" t="s">
        <v>297</v>
      </c>
      <c r="D24" s="67" t="s">
        <v>298</v>
      </c>
      <c r="E24" s="67" t="s">
        <v>299</v>
      </c>
      <c r="F24" s="11"/>
      <c r="G24" s="11"/>
      <c r="H24" s="11"/>
      <c r="I24" s="11"/>
      <c r="J24" s="11"/>
    </row>
    <row r="25" spans="1:10" ht="15" customHeight="1" x14ac:dyDescent="0.3">
      <c r="A25" s="46" t="s">
        <v>300</v>
      </c>
      <c r="B25" s="67" t="s">
        <v>301</v>
      </c>
      <c r="C25" s="46" t="s">
        <v>302</v>
      </c>
      <c r="D25" s="67" t="s">
        <v>303</v>
      </c>
      <c r="E25" s="67" t="s">
        <v>304</v>
      </c>
      <c r="F25" s="11"/>
      <c r="G25" s="11"/>
      <c r="H25" s="11"/>
      <c r="I25" s="11"/>
      <c r="J25" s="11"/>
    </row>
    <row r="26" spans="1:10" ht="1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1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15" customHeight="1" x14ac:dyDescent="0.3">
      <c r="A28" s="18" t="s">
        <v>305</v>
      </c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5" customHeight="1" x14ac:dyDescent="0.3">
      <c r="A29" s="32" t="s">
        <v>72</v>
      </c>
      <c r="B29" s="32" t="s">
        <v>306</v>
      </c>
      <c r="C29" s="32" t="s">
        <v>307</v>
      </c>
      <c r="D29" s="32" t="s">
        <v>308</v>
      </c>
      <c r="E29" s="32" t="s">
        <v>309</v>
      </c>
      <c r="F29" s="32" t="s">
        <v>310</v>
      </c>
      <c r="G29" s="32" t="s">
        <v>74</v>
      </c>
      <c r="H29" s="11"/>
      <c r="I29" s="11"/>
      <c r="J29" s="11"/>
    </row>
    <row r="30" spans="1:10" ht="15" customHeight="1" x14ac:dyDescent="0.3">
      <c r="A30" s="67" t="s">
        <v>311</v>
      </c>
      <c r="B30" s="67" t="s">
        <v>312</v>
      </c>
      <c r="C30" s="67" t="s">
        <v>313</v>
      </c>
      <c r="D30" s="67" t="s">
        <v>314</v>
      </c>
      <c r="E30" s="67" t="s">
        <v>315</v>
      </c>
      <c r="F30" s="67" t="s">
        <v>316</v>
      </c>
      <c r="G30" s="67" t="s">
        <v>309</v>
      </c>
      <c r="H30" s="11"/>
      <c r="I30" s="11"/>
      <c r="J30" s="11"/>
    </row>
    <row r="31" spans="1:10" ht="15" customHeight="1" x14ac:dyDescent="0.3">
      <c r="A31" s="67" t="s">
        <v>317</v>
      </c>
      <c r="B31" s="67" t="s">
        <v>318</v>
      </c>
      <c r="C31" s="67" t="s">
        <v>313</v>
      </c>
      <c r="D31" s="67" t="s">
        <v>314</v>
      </c>
      <c r="E31" s="67" t="s">
        <v>319</v>
      </c>
      <c r="F31" s="67" t="s">
        <v>316</v>
      </c>
      <c r="G31" s="67" t="s">
        <v>320</v>
      </c>
      <c r="H31" s="11"/>
      <c r="I31" s="11"/>
      <c r="J31" s="11"/>
    </row>
    <row r="32" spans="1:10" ht="15" customHeight="1" x14ac:dyDescent="0.3">
      <c r="A32" s="67" t="s">
        <v>321</v>
      </c>
      <c r="B32" s="67" t="s">
        <v>322</v>
      </c>
      <c r="C32" s="67" t="s">
        <v>313</v>
      </c>
      <c r="D32" s="67" t="s">
        <v>323</v>
      </c>
      <c r="E32" s="67" t="s">
        <v>315</v>
      </c>
      <c r="F32" s="67" t="s">
        <v>324</v>
      </c>
      <c r="G32" s="67" t="s">
        <v>309</v>
      </c>
      <c r="H32" s="11"/>
      <c r="I32" s="11"/>
      <c r="J32" s="11"/>
    </row>
    <row r="33" spans="1:10" ht="15" customHeight="1" x14ac:dyDescent="0.3">
      <c r="A33" s="67" t="s">
        <v>325</v>
      </c>
      <c r="B33" s="67" t="s">
        <v>326</v>
      </c>
      <c r="C33" s="67" t="s">
        <v>313</v>
      </c>
      <c r="D33" s="67" t="s">
        <v>327</v>
      </c>
      <c r="E33" s="67" t="s">
        <v>315</v>
      </c>
      <c r="F33" s="67" t="s">
        <v>324</v>
      </c>
      <c r="G33" s="67" t="s">
        <v>309</v>
      </c>
      <c r="H33" s="11"/>
      <c r="I33" s="11"/>
      <c r="J33" s="11"/>
    </row>
    <row r="34" spans="1:10" ht="15" customHeight="1" x14ac:dyDescent="0.3">
      <c r="A34" s="67" t="s">
        <v>328</v>
      </c>
      <c r="B34" s="67" t="s">
        <v>329</v>
      </c>
      <c r="C34" s="67" t="s">
        <v>330</v>
      </c>
      <c r="D34" s="67" t="s">
        <v>314</v>
      </c>
      <c r="E34" s="67" t="s">
        <v>331</v>
      </c>
      <c r="F34" s="67" t="s">
        <v>332</v>
      </c>
      <c r="G34" s="67" t="s">
        <v>333</v>
      </c>
      <c r="H34" s="11"/>
      <c r="I34" s="11"/>
      <c r="J34" s="11"/>
    </row>
    <row r="35" spans="1:10" ht="15" customHeight="1" x14ac:dyDescent="0.3">
      <c r="A35" s="67" t="s">
        <v>334</v>
      </c>
      <c r="B35" s="67" t="s">
        <v>335</v>
      </c>
      <c r="C35" s="67" t="s">
        <v>330</v>
      </c>
      <c r="D35" s="67" t="s">
        <v>314</v>
      </c>
      <c r="E35" s="67" t="s">
        <v>315</v>
      </c>
      <c r="F35" s="67" t="s">
        <v>332</v>
      </c>
      <c r="G35" s="67" t="s">
        <v>333</v>
      </c>
      <c r="H35" s="11"/>
      <c r="I35" s="11"/>
      <c r="J35" s="11"/>
    </row>
    <row r="36" spans="1:10" ht="15" customHeight="1" x14ac:dyDescent="0.3">
      <c r="A36" s="67" t="s">
        <v>336</v>
      </c>
      <c r="B36" s="67" t="s">
        <v>337</v>
      </c>
      <c r="C36" s="67" t="s">
        <v>330</v>
      </c>
      <c r="D36" s="67" t="s">
        <v>314</v>
      </c>
      <c r="E36" s="67" t="s">
        <v>338</v>
      </c>
      <c r="F36" s="67" t="s">
        <v>339</v>
      </c>
      <c r="G36" s="67" t="s">
        <v>333</v>
      </c>
      <c r="H36" s="11"/>
      <c r="I36" s="11"/>
      <c r="J36" s="11"/>
    </row>
    <row r="37" spans="1:10" ht="15" customHeight="1" x14ac:dyDescent="0.3">
      <c r="A37" s="67" t="s">
        <v>340</v>
      </c>
      <c r="B37" s="67" t="s">
        <v>341</v>
      </c>
      <c r="C37" s="67" t="s">
        <v>330</v>
      </c>
      <c r="D37" s="67" t="s">
        <v>342</v>
      </c>
      <c r="E37" s="67" t="s">
        <v>338</v>
      </c>
      <c r="F37" s="67" t="s">
        <v>339</v>
      </c>
      <c r="G37" s="67" t="s">
        <v>333</v>
      </c>
      <c r="H37" s="11"/>
      <c r="I37" s="11"/>
      <c r="J37" s="11"/>
    </row>
    <row r="38" spans="1:10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5" customHeight="1" x14ac:dyDescent="0.3">
      <c r="A40" s="18" t="s">
        <v>343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5" customHeight="1" x14ac:dyDescent="0.3">
      <c r="A41" s="32" t="s">
        <v>217</v>
      </c>
      <c r="B41" s="32" t="s">
        <v>344</v>
      </c>
      <c r="C41" s="32" t="s">
        <v>104</v>
      </c>
      <c r="D41" s="32" t="s">
        <v>283</v>
      </c>
      <c r="E41" s="11"/>
      <c r="F41" s="11"/>
      <c r="G41" s="11"/>
      <c r="H41" s="11"/>
      <c r="I41" s="11"/>
      <c r="J41" s="11"/>
    </row>
    <row r="42" spans="1:10" ht="15" customHeight="1" x14ac:dyDescent="0.3">
      <c r="A42" s="67" t="s">
        <v>345</v>
      </c>
      <c r="B42" s="17" t="str">
        <f ca="1">IF(Dashboard!B10="RISK OFF","YES","NO")</f>
        <v>YES</v>
      </c>
      <c r="C42" s="67" t="s">
        <v>346</v>
      </c>
      <c r="D42" s="67" t="s">
        <v>347</v>
      </c>
      <c r="E42" s="11"/>
      <c r="F42" s="11"/>
      <c r="G42" s="11"/>
      <c r="H42" s="11"/>
      <c r="I42" s="11"/>
      <c r="J42" s="11"/>
    </row>
    <row r="43" spans="1:10" ht="15" customHeight="1" x14ac:dyDescent="0.3">
      <c r="A43" s="67" t="s">
        <v>348</v>
      </c>
      <c r="B43" s="17" t="str">
        <f ca="1">IF(Dashboard!B10="DEFENSIVE","YES","NO")</f>
        <v>NO</v>
      </c>
      <c r="C43" s="67" t="s">
        <v>349</v>
      </c>
      <c r="D43" s="67" t="s">
        <v>350</v>
      </c>
      <c r="E43" s="11"/>
      <c r="F43" s="11"/>
      <c r="G43" s="11"/>
      <c r="H43" s="11"/>
      <c r="I43" s="11"/>
      <c r="J43" s="11"/>
    </row>
    <row r="44" spans="1:10" ht="15" customHeight="1" x14ac:dyDescent="0.3">
      <c r="A44" s="67" t="s">
        <v>351</v>
      </c>
      <c r="B44" s="17" t="str">
        <f ca="1">IF(Dashboard!D14="⚠ TRIGGERED","YES","NO")</f>
        <v>YES</v>
      </c>
      <c r="C44" s="67" t="s">
        <v>352</v>
      </c>
      <c r="D44" s="67" t="s">
        <v>353</v>
      </c>
      <c r="E44" s="11"/>
      <c r="F44" s="11"/>
      <c r="G44" s="11"/>
      <c r="H44" s="11"/>
      <c r="I44" s="11"/>
      <c r="J44" s="11"/>
    </row>
    <row r="45" spans="1:10" ht="15" customHeight="1" x14ac:dyDescent="0.3">
      <c r="A45" s="67" t="s">
        <v>354</v>
      </c>
      <c r="B45" s="17" t="str">
        <f ca="1">IF(Dashboard!D17="⚠ TRIGGERED","YES","NO")</f>
        <v>YES</v>
      </c>
      <c r="C45" s="67" t="s">
        <v>355</v>
      </c>
      <c r="D45" s="67" t="s">
        <v>356</v>
      </c>
      <c r="E45" s="11"/>
      <c r="F45" s="11"/>
      <c r="G45" s="11"/>
      <c r="H45" s="11"/>
      <c r="I45" s="11"/>
      <c r="J45" s="11"/>
    </row>
    <row r="46" spans="1:10" ht="15" customHeight="1" x14ac:dyDescent="0.3">
      <c r="A46" s="67" t="s">
        <v>357</v>
      </c>
      <c r="B46" s="17" t="str">
        <f ca="1">IF(AVERAGE('Signal Engine'!F16:F39)&lt;=35,"YES","NO")</f>
        <v>YES</v>
      </c>
      <c r="C46" s="67" t="s">
        <v>358</v>
      </c>
      <c r="D46" s="67" t="s">
        <v>359</v>
      </c>
      <c r="E46" s="11"/>
      <c r="F46" s="11"/>
      <c r="G46" s="11"/>
      <c r="H46" s="11"/>
      <c r="I46" s="11"/>
      <c r="J46" s="11"/>
    </row>
    <row r="47" spans="1:10" ht="15" customHeight="1" x14ac:dyDescent="0.3">
      <c r="A47" s="67" t="s">
        <v>360</v>
      </c>
      <c r="B47" s="17" t="str">
        <f ca="1">IF(AND(B5&lt;15,Dashboard!B10="FULLY INVESTED"),"YES","NO")</f>
        <v>NO</v>
      </c>
      <c r="C47" s="67" t="s">
        <v>361</v>
      </c>
      <c r="D47" s="67" t="s">
        <v>362</v>
      </c>
      <c r="E47" s="11"/>
      <c r="F47" s="11"/>
      <c r="G47" s="11"/>
      <c r="H47" s="11"/>
      <c r="I47" s="11"/>
      <c r="J47" s="11"/>
    </row>
    <row r="48" spans="1:1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F4444"/>
  </sheetPr>
  <dimension ref="A1:H40"/>
  <sheetViews>
    <sheetView zoomScaleNormal="100" workbookViewId="0"/>
  </sheetViews>
  <sheetFormatPr defaultColWidth="8.6640625" defaultRowHeight="14.4" x14ac:dyDescent="0.3"/>
  <cols>
    <col min="1" max="1" width="22" customWidth="1"/>
    <col min="2" max="4" width="14" customWidth="1"/>
    <col min="5" max="5" width="16" customWidth="1"/>
  </cols>
  <sheetData>
    <row r="1" spans="1:8" ht="17.25" customHeight="1" x14ac:dyDescent="0.3">
      <c r="A1" s="10" t="s">
        <v>363</v>
      </c>
      <c r="B1" s="11"/>
      <c r="C1" s="11"/>
      <c r="D1" s="11"/>
      <c r="E1" s="11"/>
      <c r="F1" s="11"/>
      <c r="G1" s="11"/>
      <c r="H1" s="11"/>
    </row>
    <row r="2" spans="1:8" ht="15" customHeight="1" x14ac:dyDescent="0.3">
      <c r="A2" s="11"/>
      <c r="B2" s="11"/>
      <c r="C2" s="11"/>
      <c r="D2" s="11"/>
      <c r="E2" s="11"/>
      <c r="F2" s="11"/>
      <c r="G2" s="11"/>
      <c r="H2" s="11"/>
    </row>
    <row r="3" spans="1:8" ht="15" customHeight="1" x14ac:dyDescent="0.3">
      <c r="A3" s="18" t="s">
        <v>364</v>
      </c>
      <c r="B3" s="11"/>
      <c r="C3" s="11"/>
      <c r="D3" s="11"/>
      <c r="E3" s="11"/>
      <c r="F3" s="11"/>
      <c r="G3" s="11"/>
      <c r="H3" s="11"/>
    </row>
    <row r="4" spans="1:8" ht="15" customHeight="1" x14ac:dyDescent="0.3">
      <c r="A4" s="32" t="s">
        <v>365</v>
      </c>
      <c r="B4" s="32" t="s">
        <v>366</v>
      </c>
      <c r="C4" s="32" t="s">
        <v>219</v>
      </c>
      <c r="D4" s="32" t="s">
        <v>220</v>
      </c>
      <c r="E4" s="11"/>
      <c r="F4" s="11"/>
      <c r="G4" s="11"/>
      <c r="H4" s="11"/>
    </row>
    <row r="5" spans="1:8" ht="15" customHeight="1" x14ac:dyDescent="0.3">
      <c r="A5" s="67" t="s">
        <v>367</v>
      </c>
      <c r="B5" s="61">
        <f ca="1">Dashboard!E5</f>
        <v>0</v>
      </c>
      <c r="C5" s="72">
        <v>0.25</v>
      </c>
      <c r="D5" s="17" t="str">
        <f ca="1">IF(B5&gt;C5,"⚠ HIGH","OK")</f>
        <v>OK</v>
      </c>
      <c r="E5" s="11"/>
      <c r="F5" s="11"/>
      <c r="G5" s="11"/>
      <c r="H5" s="11"/>
    </row>
    <row r="6" spans="1:8" ht="15" customHeight="1" x14ac:dyDescent="0.3">
      <c r="A6" s="67" t="s">
        <v>368</v>
      </c>
      <c r="B6" s="27">
        <f ca="1">B5*1.645/SQRT(252)</f>
        <v>0</v>
      </c>
      <c r="C6" s="72">
        <v>2.5000000000000001E-2</v>
      </c>
      <c r="D6" s="17" t="str">
        <f ca="1">IF(B6&gt;C6,"⚠ BREACH","OK")</f>
        <v>OK</v>
      </c>
      <c r="E6" s="11"/>
      <c r="F6" s="11"/>
      <c r="G6" s="11"/>
      <c r="H6" s="11"/>
    </row>
    <row r="7" spans="1:8" ht="15" customHeight="1" x14ac:dyDescent="0.3">
      <c r="A7" s="67" t="s">
        <v>369</v>
      </c>
      <c r="B7" s="27">
        <f ca="1">B5*2.326/SQRT(252)</f>
        <v>0</v>
      </c>
      <c r="C7" s="72">
        <v>0.04</v>
      </c>
      <c r="D7" s="17" t="str">
        <f ca="1">IF(B7&gt;C7,"⚠ BREACH","OK")</f>
        <v>OK</v>
      </c>
      <c r="E7" s="11"/>
      <c r="F7" s="11"/>
      <c r="G7" s="11"/>
      <c r="H7" s="11"/>
    </row>
    <row r="8" spans="1:8" ht="15" customHeight="1" x14ac:dyDescent="0.3">
      <c r="A8" s="67" t="s">
        <v>370</v>
      </c>
      <c r="B8" s="27">
        <f ca="1">B6*1.4</f>
        <v>0</v>
      </c>
      <c r="C8" s="72">
        <v>3.5000000000000003E-2</v>
      </c>
      <c r="D8" s="17" t="str">
        <f ca="1">IF(B8&gt;C8,"⚠ BREACH","OK")</f>
        <v>OK</v>
      </c>
      <c r="E8" s="11"/>
      <c r="F8" s="11"/>
      <c r="G8" s="11"/>
      <c r="H8" s="11"/>
    </row>
    <row r="9" spans="1:8" ht="15" customHeight="1" x14ac:dyDescent="0.3">
      <c r="A9" s="67" t="s">
        <v>371</v>
      </c>
      <c r="B9" s="53">
        <f ca="1">Dashboard!K5</f>
        <v>0</v>
      </c>
      <c r="C9" s="73">
        <v>1</v>
      </c>
      <c r="D9" s="17" t="str">
        <f ca="1">IF(B9&gt;C9,"⚠ HIGH","OK")</f>
        <v>OK</v>
      </c>
      <c r="E9" s="11"/>
      <c r="F9" s="11"/>
      <c r="G9" s="11"/>
      <c r="H9" s="11"/>
    </row>
    <row r="10" spans="1:8" ht="15" customHeight="1" x14ac:dyDescent="0.3">
      <c r="A10" s="67" t="s">
        <v>372</v>
      </c>
      <c r="B10" s="61">
        <f ca="1">IFERROR(Dashboard!I5,0)</f>
        <v>0</v>
      </c>
      <c r="C10" s="72">
        <v>0.2</v>
      </c>
      <c r="D10" s="17" t="str">
        <f ca="1">IF(B10&gt;C10,"⚠ HIGH","OK")</f>
        <v>OK</v>
      </c>
      <c r="E10" s="11"/>
      <c r="F10" s="11"/>
      <c r="G10" s="11"/>
      <c r="H10" s="11"/>
    </row>
    <row r="11" spans="1:8" ht="15" customHeight="1" x14ac:dyDescent="0.3">
      <c r="A11" s="67" t="s">
        <v>373</v>
      </c>
      <c r="B11" s="71">
        <f ca="1">B6*'Data Input'!B7</f>
        <v>0</v>
      </c>
      <c r="C11" s="71">
        <f ca="1">C6*'Data Input'!B7</f>
        <v>4.0000000000000001E-3</v>
      </c>
      <c r="D11" s="17" t="str">
        <f ca="1">IF(B11&gt;C11,"⚠ BREACH","OK")</f>
        <v>OK</v>
      </c>
      <c r="E11" s="11"/>
      <c r="F11" s="11"/>
      <c r="G11" s="11"/>
      <c r="H11" s="11"/>
    </row>
    <row r="12" spans="1:8" ht="15" customHeight="1" x14ac:dyDescent="0.3">
      <c r="A12" s="11"/>
      <c r="B12" s="11"/>
      <c r="C12" s="11"/>
      <c r="D12" s="11"/>
      <c r="E12" s="11"/>
      <c r="F12" s="11"/>
      <c r="G12" s="11"/>
      <c r="H12" s="11"/>
    </row>
    <row r="13" spans="1:8" ht="15" customHeight="1" x14ac:dyDescent="0.3">
      <c r="A13" s="11"/>
      <c r="B13" s="11"/>
      <c r="C13" s="11"/>
      <c r="D13" s="11"/>
      <c r="E13" s="11"/>
      <c r="F13" s="11"/>
      <c r="G13" s="11"/>
      <c r="H13" s="11"/>
    </row>
    <row r="14" spans="1:8" ht="15" customHeight="1" x14ac:dyDescent="0.3">
      <c r="A14" s="18" t="s">
        <v>374</v>
      </c>
      <c r="B14" s="11"/>
      <c r="C14" s="11"/>
      <c r="D14" s="11"/>
      <c r="E14" s="11"/>
      <c r="F14" s="11"/>
      <c r="G14" s="11"/>
      <c r="H14" s="11"/>
    </row>
    <row r="15" spans="1:8" ht="15" customHeight="1" x14ac:dyDescent="0.3">
      <c r="A15" s="32" t="s">
        <v>375</v>
      </c>
      <c r="B15" s="32" t="s">
        <v>376</v>
      </c>
      <c r="C15" s="32" t="s">
        <v>377</v>
      </c>
      <c r="D15" s="32" t="s">
        <v>378</v>
      </c>
      <c r="E15" s="32" t="s">
        <v>379</v>
      </c>
      <c r="F15" s="11"/>
      <c r="G15" s="11"/>
      <c r="H15" s="11"/>
    </row>
    <row r="16" spans="1:8" ht="15" customHeight="1" x14ac:dyDescent="0.3">
      <c r="A16" s="67" t="s">
        <v>380</v>
      </c>
      <c r="B16" s="23">
        <v>-0.2</v>
      </c>
      <c r="C16" s="47">
        <f ca="1">B16*Dashboard!$K$5</f>
        <v>0</v>
      </c>
      <c r="D16" s="71">
        <f ca="1">C16*'Data Input'!$B$7</f>
        <v>0</v>
      </c>
      <c r="E16" s="17" t="str">
        <f t="shared" ref="E16:E21" ca="1" si="0">ROUND(ABS(C16)*1000,0)&amp;" days"</f>
        <v>0 days</v>
      </c>
      <c r="F16" s="11"/>
      <c r="G16" s="11"/>
      <c r="H16" s="11"/>
    </row>
    <row r="17" spans="1:8" ht="15" customHeight="1" x14ac:dyDescent="0.3">
      <c r="A17" s="67" t="s">
        <v>381</v>
      </c>
      <c r="B17" s="23">
        <v>-0.08</v>
      </c>
      <c r="C17" s="47">
        <f ca="1">B17*Dashboard!$K$5</f>
        <v>0</v>
      </c>
      <c r="D17" s="71">
        <f ca="1">C17*'Data Input'!$B$7</f>
        <v>0</v>
      </c>
      <c r="E17" s="17" t="str">
        <f t="shared" ca="1" si="0"/>
        <v>0 days</v>
      </c>
      <c r="F17" s="11"/>
      <c r="G17" s="11"/>
      <c r="H17" s="11"/>
    </row>
    <row r="18" spans="1:8" ht="15" customHeight="1" x14ac:dyDescent="0.3">
      <c r="A18" s="67" t="s">
        <v>382</v>
      </c>
      <c r="B18" s="23">
        <v>-0.15</v>
      </c>
      <c r="C18" s="47">
        <f ca="1">B18*Dashboard!$K$5</f>
        <v>0</v>
      </c>
      <c r="D18" s="71">
        <f ca="1">C18*'Data Input'!$B$7</f>
        <v>0</v>
      </c>
      <c r="E18" s="17" t="str">
        <f t="shared" ca="1" si="0"/>
        <v>0 days</v>
      </c>
      <c r="F18" s="11"/>
      <c r="G18" s="11"/>
      <c r="H18" s="11"/>
    </row>
    <row r="19" spans="1:8" ht="15" customHeight="1" x14ac:dyDescent="0.3">
      <c r="A19" s="67" t="s">
        <v>383</v>
      </c>
      <c r="B19" s="23">
        <v>-0.12</v>
      </c>
      <c r="C19" s="47">
        <f ca="1">B19*Dashboard!$K$5</f>
        <v>0</v>
      </c>
      <c r="D19" s="71">
        <f ca="1">C19*'Data Input'!$B$7</f>
        <v>0</v>
      </c>
      <c r="E19" s="17" t="str">
        <f t="shared" ca="1" si="0"/>
        <v>0 days</v>
      </c>
      <c r="F19" s="11"/>
      <c r="G19" s="11"/>
      <c r="H19" s="11"/>
    </row>
    <row r="20" spans="1:8" ht="15" customHeight="1" x14ac:dyDescent="0.3">
      <c r="A20" s="67" t="s">
        <v>384</v>
      </c>
      <c r="B20" s="23">
        <v>-0.1</v>
      </c>
      <c r="C20" s="47">
        <f ca="1">B20*Dashboard!$K$5</f>
        <v>0</v>
      </c>
      <c r="D20" s="71">
        <f ca="1">C20*'Data Input'!$B$7</f>
        <v>0</v>
      </c>
      <c r="E20" s="17" t="str">
        <f t="shared" ca="1" si="0"/>
        <v>0 days</v>
      </c>
      <c r="F20" s="11"/>
      <c r="G20" s="11"/>
      <c r="H20" s="11"/>
    </row>
    <row r="21" spans="1:8" ht="15" customHeight="1" x14ac:dyDescent="0.3">
      <c r="A21" s="67" t="s">
        <v>385</v>
      </c>
      <c r="B21" s="23">
        <v>-0.3</v>
      </c>
      <c r="C21" s="47">
        <f ca="1">B21*Dashboard!$K$5</f>
        <v>0</v>
      </c>
      <c r="D21" s="71">
        <f ca="1">C21*'Data Input'!$B$7</f>
        <v>0</v>
      </c>
      <c r="E21" s="17" t="str">
        <f t="shared" ca="1" si="0"/>
        <v>0 days</v>
      </c>
      <c r="F21" s="11"/>
      <c r="G21" s="11"/>
      <c r="H21" s="11"/>
    </row>
    <row r="22" spans="1:8" ht="15" customHeight="1" x14ac:dyDescent="0.3">
      <c r="A22" s="11"/>
      <c r="B22" s="11"/>
      <c r="C22" s="11"/>
      <c r="D22" s="11"/>
      <c r="E22" s="11"/>
      <c r="F22" s="11"/>
      <c r="G22" s="11"/>
      <c r="H22" s="11"/>
    </row>
    <row r="23" spans="1:8" ht="15" customHeight="1" x14ac:dyDescent="0.3">
      <c r="A23" s="11"/>
      <c r="B23" s="11"/>
      <c r="C23" s="11"/>
      <c r="D23" s="11"/>
      <c r="E23" s="11"/>
      <c r="F23" s="11"/>
      <c r="G23" s="11"/>
      <c r="H23" s="11"/>
    </row>
    <row r="24" spans="1:8" ht="15" customHeight="1" x14ac:dyDescent="0.3">
      <c r="A24" s="18" t="s">
        <v>386</v>
      </c>
      <c r="B24" s="11"/>
      <c r="C24" s="11"/>
      <c r="D24" s="11"/>
      <c r="E24" s="11"/>
      <c r="F24" s="11"/>
      <c r="G24" s="11"/>
      <c r="H24" s="11"/>
    </row>
    <row r="25" spans="1:8" ht="15" customHeight="1" x14ac:dyDescent="0.3">
      <c r="A25" s="32" t="s">
        <v>134</v>
      </c>
      <c r="B25" s="32" t="s">
        <v>282</v>
      </c>
      <c r="C25" s="32" t="s">
        <v>387</v>
      </c>
      <c r="D25" s="32" t="s">
        <v>388</v>
      </c>
      <c r="E25" s="32" t="s">
        <v>389</v>
      </c>
      <c r="F25" s="11"/>
      <c r="G25" s="11"/>
      <c r="H25" s="11"/>
    </row>
    <row r="26" spans="1:8" ht="15" customHeight="1" x14ac:dyDescent="0.3">
      <c r="A26" s="46" t="s">
        <v>135</v>
      </c>
      <c r="B26" s="67" t="s">
        <v>390</v>
      </c>
      <c r="C26" s="74">
        <v>-0.7</v>
      </c>
      <c r="D26" s="67" t="s">
        <v>391</v>
      </c>
      <c r="E26" s="67" t="s">
        <v>392</v>
      </c>
      <c r="F26" s="11"/>
      <c r="G26" s="11"/>
      <c r="H26" s="11"/>
    </row>
    <row r="27" spans="1:8" ht="15" customHeight="1" x14ac:dyDescent="0.3">
      <c r="A27" s="46" t="s">
        <v>133</v>
      </c>
      <c r="B27" s="67" t="s">
        <v>393</v>
      </c>
      <c r="C27" s="74">
        <v>-0.5</v>
      </c>
      <c r="D27" s="67" t="s">
        <v>392</v>
      </c>
      <c r="E27" s="67" t="s">
        <v>392</v>
      </c>
      <c r="F27" s="11"/>
      <c r="G27" s="11"/>
      <c r="H27" s="11"/>
    </row>
    <row r="28" spans="1:8" ht="15" customHeight="1" x14ac:dyDescent="0.3">
      <c r="A28" s="46" t="s">
        <v>129</v>
      </c>
      <c r="B28" s="67" t="s">
        <v>394</v>
      </c>
      <c r="C28" s="74">
        <v>-0.1</v>
      </c>
      <c r="D28" s="67" t="s">
        <v>391</v>
      </c>
      <c r="E28" s="67" t="s">
        <v>391</v>
      </c>
      <c r="F28" s="11"/>
      <c r="G28" s="11"/>
      <c r="H28" s="11"/>
    </row>
    <row r="29" spans="1:8" ht="15" customHeight="1" x14ac:dyDescent="0.3">
      <c r="A29" s="46" t="s">
        <v>120</v>
      </c>
      <c r="B29" s="67" t="s">
        <v>395</v>
      </c>
      <c r="C29" s="74">
        <v>-0.3</v>
      </c>
      <c r="D29" s="67" t="s">
        <v>392</v>
      </c>
      <c r="E29" s="67" t="s">
        <v>396</v>
      </c>
      <c r="F29" s="11"/>
      <c r="G29" s="11"/>
      <c r="H29" s="11"/>
    </row>
    <row r="30" spans="1:8" ht="15" customHeight="1" x14ac:dyDescent="0.3">
      <c r="A30" s="46" t="s">
        <v>121</v>
      </c>
      <c r="B30" s="67" t="s">
        <v>394</v>
      </c>
      <c r="C30" s="74">
        <v>0.05</v>
      </c>
      <c r="D30" s="67" t="s">
        <v>392</v>
      </c>
      <c r="E30" s="67" t="s">
        <v>392</v>
      </c>
      <c r="F30" s="11"/>
      <c r="G30" s="11"/>
      <c r="H30" s="11"/>
    </row>
    <row r="31" spans="1:8" ht="15" customHeight="1" x14ac:dyDescent="0.3">
      <c r="A31" s="46" t="s">
        <v>397</v>
      </c>
      <c r="B31" s="67" t="s">
        <v>398</v>
      </c>
      <c r="C31" s="67" t="s">
        <v>119</v>
      </c>
      <c r="D31" s="67" t="s">
        <v>391</v>
      </c>
      <c r="E31" s="67" t="s">
        <v>399</v>
      </c>
      <c r="F31" s="11"/>
      <c r="G31" s="11"/>
      <c r="H31" s="11"/>
    </row>
    <row r="32" spans="1:8" ht="15" customHeight="1" x14ac:dyDescent="0.3">
      <c r="A32" s="11"/>
      <c r="B32" s="11"/>
      <c r="C32" s="11"/>
      <c r="D32" s="11"/>
      <c r="E32" s="11"/>
      <c r="F32" s="11"/>
      <c r="G32" s="11"/>
      <c r="H32" s="11"/>
    </row>
    <row r="33" spans="1:8" ht="15" customHeight="1" x14ac:dyDescent="0.3">
      <c r="A33" s="11"/>
      <c r="B33" s="11"/>
      <c r="C33" s="11"/>
      <c r="D33" s="11"/>
      <c r="E33" s="11"/>
      <c r="F33" s="11"/>
      <c r="G33" s="11"/>
      <c r="H33" s="11"/>
    </row>
    <row r="34" spans="1:8" ht="15" customHeight="1" x14ac:dyDescent="0.3">
      <c r="A34" s="11"/>
      <c r="B34" s="11"/>
      <c r="C34" s="11"/>
      <c r="D34" s="11"/>
      <c r="E34" s="11"/>
      <c r="F34" s="11"/>
      <c r="G34" s="11"/>
      <c r="H34" s="11"/>
    </row>
    <row r="35" spans="1:8" ht="15" customHeight="1" x14ac:dyDescent="0.3">
      <c r="A35" s="11"/>
      <c r="B35" s="11"/>
      <c r="C35" s="11"/>
      <c r="D35" s="11"/>
      <c r="E35" s="11"/>
      <c r="F35" s="11"/>
      <c r="G35" s="11"/>
      <c r="H35" s="11"/>
    </row>
    <row r="36" spans="1:8" ht="15" customHeight="1" x14ac:dyDescent="0.3">
      <c r="A36" s="11"/>
      <c r="B36" s="11"/>
      <c r="C36" s="11"/>
      <c r="D36" s="11"/>
      <c r="E36" s="11"/>
      <c r="F36" s="11"/>
      <c r="G36" s="11"/>
      <c r="H36" s="11"/>
    </row>
    <row r="37" spans="1:8" ht="15" customHeight="1" x14ac:dyDescent="0.3">
      <c r="A37" s="11"/>
      <c r="B37" s="11"/>
      <c r="C37" s="11"/>
      <c r="D37" s="11"/>
      <c r="E37" s="11"/>
      <c r="F37" s="11"/>
      <c r="G37" s="11"/>
      <c r="H37" s="11"/>
    </row>
    <row r="38" spans="1:8" ht="15" customHeight="1" x14ac:dyDescent="0.3">
      <c r="A38" s="11"/>
      <c r="B38" s="11"/>
      <c r="C38" s="11"/>
      <c r="D38" s="11"/>
      <c r="E38" s="11"/>
      <c r="F38" s="11"/>
      <c r="G38" s="11"/>
      <c r="H38" s="11"/>
    </row>
    <row r="39" spans="1:8" ht="15" customHeight="1" x14ac:dyDescent="0.3">
      <c r="A39" s="11"/>
      <c r="B39" s="11"/>
      <c r="C39" s="11"/>
      <c r="D39" s="11"/>
      <c r="E39" s="11"/>
      <c r="F39" s="11"/>
      <c r="G39" s="11"/>
      <c r="H39" s="11"/>
    </row>
    <row r="40" spans="1:8" ht="15" customHeight="1" x14ac:dyDescent="0.3">
      <c r="A40" s="11"/>
      <c r="B40" s="11"/>
      <c r="C40" s="11"/>
      <c r="D40" s="11"/>
      <c r="E40" s="11"/>
      <c r="F40" s="11"/>
      <c r="G40" s="11"/>
      <c r="H4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9E0B"/>
  </sheetPr>
  <dimension ref="A1:L40"/>
  <sheetViews>
    <sheetView zoomScaleNormal="100" workbookViewId="0"/>
  </sheetViews>
  <sheetFormatPr defaultColWidth="8.6640625" defaultRowHeight="14.4" x14ac:dyDescent="0.3"/>
  <cols>
    <col min="1" max="1" width="8" customWidth="1"/>
    <col min="2" max="3" width="9" customWidth="1"/>
    <col min="4" max="4" width="8" customWidth="1"/>
    <col min="5" max="6" width="7" customWidth="1"/>
    <col min="7" max="7" width="8" customWidth="1"/>
    <col min="8" max="8" width="10" customWidth="1"/>
    <col min="9" max="9" width="8" customWidth="1"/>
    <col min="10" max="10" width="12" customWidth="1"/>
    <col min="11" max="12" width="10" customWidth="1"/>
  </cols>
  <sheetData>
    <row r="1" spans="1:12" ht="17.25" customHeight="1" x14ac:dyDescent="0.3">
      <c r="A1" s="10" t="s">
        <v>400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" customHeight="1" x14ac:dyDescent="0.3">
      <c r="A3" s="32" t="s">
        <v>72</v>
      </c>
      <c r="B3" s="32" t="s">
        <v>401</v>
      </c>
      <c r="C3" s="32" t="s">
        <v>402</v>
      </c>
      <c r="D3" s="32" t="s">
        <v>103</v>
      </c>
      <c r="E3" s="32" t="s">
        <v>403</v>
      </c>
      <c r="F3" s="32" t="s">
        <v>404</v>
      </c>
      <c r="G3" s="32" t="s">
        <v>250</v>
      </c>
      <c r="H3" s="32" t="s">
        <v>104</v>
      </c>
      <c r="I3" s="32" t="s">
        <v>405</v>
      </c>
      <c r="J3" s="32" t="s">
        <v>406</v>
      </c>
      <c r="K3" s="32" t="s">
        <v>407</v>
      </c>
      <c r="L3" s="32" t="s">
        <v>408</v>
      </c>
    </row>
    <row r="4" spans="1:12" ht="15" customHeight="1" x14ac:dyDescent="0.3">
      <c r="A4" s="64" t="str">
        <f>'Asset Analysis'!A4</f>
        <v>SPY</v>
      </c>
      <c r="B4" s="63">
        <f>'Asset Analysis'!Q4</f>
        <v>0.08</v>
      </c>
      <c r="C4" s="63">
        <f>'Asset Analysis'!R4</f>
        <v>0.09</v>
      </c>
      <c r="D4" s="44">
        <f t="shared" ref="D4:D27" si="0">C4-B4</f>
        <v>9.999999999999995E-3</v>
      </c>
      <c r="E4" s="63">
        <f>'Data Input'!$B$8</f>
        <v>100000</v>
      </c>
      <c r="F4" s="17" t="str">
        <f t="shared" ref="F4:F27" si="1">IF(ABS(D4)&gt;E4,"YES","NO")</f>
        <v>NO</v>
      </c>
      <c r="G4" s="64" t="str">
        <f ca="1">'Asset Analysis'!O4</f>
        <v>SELL</v>
      </c>
      <c r="H4" s="17" t="str">
        <f t="shared" ref="H4:H27" ca="1" si="2">IF(F4="YES",IF(D4&lt;0,"BUY","SELL"),IF(AND(G4="BUY",D4&lt;0),"ADD",IF(AND(G4="SELL",D4&gt;0),"TRIM","HOLD")))</f>
        <v>TRIM</v>
      </c>
      <c r="I4" s="43">
        <f t="shared" ref="I4:I27" ca="1" si="3">ROUND(J4/100,0)</f>
        <v>0</v>
      </c>
      <c r="J4" s="71">
        <f ca="1">ABS(D4)*'Data Input'!$B$7</f>
        <v>1.5999999999999992E-3</v>
      </c>
      <c r="K4" s="17" t="str">
        <f t="shared" ref="K4:K27" ca="1" si="4">IF(H4="SELL","Check TLH","N/A")</f>
        <v>N/A</v>
      </c>
      <c r="L4" s="17" t="str">
        <f t="shared" ref="L4:L27" si="5">IF(ABS(D4)&gt;0.03,"HIGH",IF(ABS(D4)&gt;0.015,"MEDIUM","LOW"))</f>
        <v>LOW</v>
      </c>
    </row>
    <row r="5" spans="1:12" ht="15" customHeight="1" x14ac:dyDescent="0.3">
      <c r="A5" s="64" t="str">
        <f>'Asset Analysis'!A5</f>
        <v>QQQ</v>
      </c>
      <c r="B5" s="63">
        <f>'Asset Analysis'!Q5</f>
        <v>7.0000000000000007E-2</v>
      </c>
      <c r="C5" s="63">
        <f>'Asset Analysis'!R5</f>
        <v>6.5000000000000002E-2</v>
      </c>
      <c r="D5" s="44">
        <f t="shared" si="0"/>
        <v>-5.0000000000000044E-3</v>
      </c>
      <c r="E5" s="63">
        <f>'Data Input'!$B$8</f>
        <v>100000</v>
      </c>
      <c r="F5" s="17" t="str">
        <f t="shared" si="1"/>
        <v>NO</v>
      </c>
      <c r="G5" s="64" t="str">
        <f ca="1">'Asset Analysis'!O5</f>
        <v>SELL</v>
      </c>
      <c r="H5" s="17" t="str">
        <f t="shared" ca="1" si="2"/>
        <v>HOLD</v>
      </c>
      <c r="I5" s="43">
        <f t="shared" ca="1" si="3"/>
        <v>0</v>
      </c>
      <c r="J5" s="71">
        <f ca="1">ABS(D5)*'Data Input'!$B$7</f>
        <v>8.0000000000000069E-4</v>
      </c>
      <c r="K5" s="17" t="str">
        <f t="shared" ca="1" si="4"/>
        <v>N/A</v>
      </c>
      <c r="L5" s="17" t="str">
        <f t="shared" si="5"/>
        <v>LOW</v>
      </c>
    </row>
    <row r="6" spans="1:12" ht="15" customHeight="1" x14ac:dyDescent="0.3">
      <c r="A6" s="64" t="str">
        <f>'Asset Analysis'!A6</f>
        <v>IWM</v>
      </c>
      <c r="B6" s="63">
        <f>'Asset Analysis'!Q6</f>
        <v>0.04</v>
      </c>
      <c r="C6" s="63">
        <f>'Asset Analysis'!R6</f>
        <v>0.04</v>
      </c>
      <c r="D6" s="44">
        <f t="shared" si="0"/>
        <v>0</v>
      </c>
      <c r="E6" s="63">
        <f>'Data Input'!$B$8</f>
        <v>100000</v>
      </c>
      <c r="F6" s="17" t="str">
        <f t="shared" si="1"/>
        <v>NO</v>
      </c>
      <c r="G6" s="64" t="str">
        <f ca="1">'Asset Analysis'!O6</f>
        <v>SELL</v>
      </c>
      <c r="H6" s="17" t="str">
        <f t="shared" ca="1" si="2"/>
        <v>HOLD</v>
      </c>
      <c r="I6" s="43">
        <f t="shared" ca="1" si="3"/>
        <v>0</v>
      </c>
      <c r="J6" s="71">
        <f ca="1">ABS(D6)*'Data Input'!$B$7</f>
        <v>0</v>
      </c>
      <c r="K6" s="17" t="str">
        <f t="shared" ca="1" si="4"/>
        <v>N/A</v>
      </c>
      <c r="L6" s="17" t="str">
        <f t="shared" si="5"/>
        <v>LOW</v>
      </c>
    </row>
    <row r="7" spans="1:12" ht="15" customHeight="1" x14ac:dyDescent="0.3">
      <c r="A7" s="64" t="str">
        <f>'Asset Analysis'!A7</f>
        <v>EFA</v>
      </c>
      <c r="B7" s="63">
        <f>'Asset Analysis'!Q7</f>
        <v>0.05</v>
      </c>
      <c r="C7" s="63">
        <f>'Asset Analysis'!R7</f>
        <v>0.06</v>
      </c>
      <c r="D7" s="44">
        <f t="shared" si="0"/>
        <v>9.999999999999995E-3</v>
      </c>
      <c r="E7" s="63">
        <f>'Data Input'!$B$8</f>
        <v>100000</v>
      </c>
      <c r="F7" s="17" t="str">
        <f t="shared" si="1"/>
        <v>NO</v>
      </c>
      <c r="G7" s="64" t="str">
        <f ca="1">'Asset Analysis'!O7</f>
        <v>SELL</v>
      </c>
      <c r="H7" s="17" t="str">
        <f t="shared" ca="1" si="2"/>
        <v>TRIM</v>
      </c>
      <c r="I7" s="43">
        <f t="shared" ca="1" si="3"/>
        <v>0</v>
      </c>
      <c r="J7" s="71">
        <f ca="1">ABS(D7)*'Data Input'!$B$7</f>
        <v>1.5999999999999992E-3</v>
      </c>
      <c r="K7" s="17" t="str">
        <f t="shared" ca="1" si="4"/>
        <v>N/A</v>
      </c>
      <c r="L7" s="17" t="str">
        <f t="shared" si="5"/>
        <v>LOW</v>
      </c>
    </row>
    <row r="8" spans="1:12" ht="15" customHeight="1" x14ac:dyDescent="0.3">
      <c r="A8" s="64" t="str">
        <f>'Asset Analysis'!A8</f>
        <v>EEM</v>
      </c>
      <c r="B8" s="63">
        <f>'Asset Analysis'!Q8</f>
        <v>0.03</v>
      </c>
      <c r="C8" s="63">
        <f>'Asset Analysis'!R8</f>
        <v>2.5000000000000001E-2</v>
      </c>
      <c r="D8" s="44">
        <f t="shared" si="0"/>
        <v>-4.9999999999999975E-3</v>
      </c>
      <c r="E8" s="63">
        <f>'Data Input'!$B$8</f>
        <v>100000</v>
      </c>
      <c r="F8" s="17" t="str">
        <f t="shared" si="1"/>
        <v>NO</v>
      </c>
      <c r="G8" s="64" t="str">
        <f ca="1">'Asset Analysis'!O8</f>
        <v>SELL</v>
      </c>
      <c r="H8" s="17" t="str">
        <f t="shared" ca="1" si="2"/>
        <v>HOLD</v>
      </c>
      <c r="I8" s="43">
        <f t="shared" ca="1" si="3"/>
        <v>0</v>
      </c>
      <c r="J8" s="71">
        <f ca="1">ABS(D8)*'Data Input'!$B$7</f>
        <v>7.999999999999996E-4</v>
      </c>
      <c r="K8" s="17" t="str">
        <f t="shared" ca="1" si="4"/>
        <v>N/A</v>
      </c>
      <c r="L8" s="17" t="str">
        <f t="shared" si="5"/>
        <v>LOW</v>
      </c>
    </row>
    <row r="9" spans="1:12" ht="15" customHeight="1" x14ac:dyDescent="0.3">
      <c r="A9" s="64" t="str">
        <f>'Asset Analysis'!A9</f>
        <v>AGG</v>
      </c>
      <c r="B9" s="63">
        <f>'Asset Analysis'!Q9</f>
        <v>0.1</v>
      </c>
      <c r="C9" s="63">
        <f>'Asset Analysis'!R9</f>
        <v>0.1</v>
      </c>
      <c r="D9" s="44">
        <f t="shared" si="0"/>
        <v>0</v>
      </c>
      <c r="E9" s="63">
        <f>'Data Input'!$B$8</f>
        <v>100000</v>
      </c>
      <c r="F9" s="17" t="str">
        <f t="shared" si="1"/>
        <v>NO</v>
      </c>
      <c r="G9" s="64" t="str">
        <f ca="1">'Asset Analysis'!O9</f>
        <v>SELL</v>
      </c>
      <c r="H9" s="17" t="str">
        <f t="shared" ca="1" si="2"/>
        <v>HOLD</v>
      </c>
      <c r="I9" s="43">
        <f t="shared" ca="1" si="3"/>
        <v>0</v>
      </c>
      <c r="J9" s="71">
        <f ca="1">ABS(D9)*'Data Input'!$B$7</f>
        <v>0</v>
      </c>
      <c r="K9" s="17" t="str">
        <f t="shared" ca="1" si="4"/>
        <v>N/A</v>
      </c>
      <c r="L9" s="17" t="str">
        <f t="shared" si="5"/>
        <v>LOW</v>
      </c>
    </row>
    <row r="10" spans="1:12" ht="15" customHeight="1" x14ac:dyDescent="0.3">
      <c r="A10" s="64" t="str">
        <f>'Asset Analysis'!A10</f>
        <v>TLT</v>
      </c>
      <c r="B10" s="63">
        <f>'Asset Analysis'!Q10</f>
        <v>0.05</v>
      </c>
      <c r="C10" s="63">
        <f>'Asset Analysis'!R10</f>
        <v>0.06</v>
      </c>
      <c r="D10" s="44">
        <f t="shared" si="0"/>
        <v>9.999999999999995E-3</v>
      </c>
      <c r="E10" s="63">
        <f>'Data Input'!$B$8</f>
        <v>100000</v>
      </c>
      <c r="F10" s="17" t="str">
        <f t="shared" si="1"/>
        <v>NO</v>
      </c>
      <c r="G10" s="64" t="str">
        <f ca="1">'Asset Analysis'!O10</f>
        <v>SELL</v>
      </c>
      <c r="H10" s="17" t="str">
        <f t="shared" ca="1" si="2"/>
        <v>TRIM</v>
      </c>
      <c r="I10" s="43">
        <f t="shared" ca="1" si="3"/>
        <v>0</v>
      </c>
      <c r="J10" s="71">
        <f ca="1">ABS(D10)*'Data Input'!$B$7</f>
        <v>1.5999999999999992E-3</v>
      </c>
      <c r="K10" s="17" t="str">
        <f t="shared" ca="1" si="4"/>
        <v>N/A</v>
      </c>
      <c r="L10" s="17" t="str">
        <f t="shared" si="5"/>
        <v>LOW</v>
      </c>
    </row>
    <row r="11" spans="1:12" ht="15" customHeight="1" x14ac:dyDescent="0.3">
      <c r="A11" s="64" t="str">
        <f>'Asset Analysis'!A11</f>
        <v>GLD</v>
      </c>
      <c r="B11" s="63">
        <f>'Asset Analysis'!Q11</f>
        <v>0.08</v>
      </c>
      <c r="C11" s="63">
        <f>'Asset Analysis'!R11</f>
        <v>7.4999999999999997E-2</v>
      </c>
      <c r="D11" s="44">
        <f t="shared" si="0"/>
        <v>-5.0000000000000044E-3</v>
      </c>
      <c r="E11" s="63">
        <f>'Data Input'!$B$8</f>
        <v>100000</v>
      </c>
      <c r="F11" s="17" t="str">
        <f t="shared" si="1"/>
        <v>NO</v>
      </c>
      <c r="G11" s="64" t="str">
        <f ca="1">'Asset Analysis'!O11</f>
        <v>SELL</v>
      </c>
      <c r="H11" s="17" t="str">
        <f t="shared" ca="1" si="2"/>
        <v>HOLD</v>
      </c>
      <c r="I11" s="43">
        <f t="shared" ca="1" si="3"/>
        <v>0</v>
      </c>
      <c r="J11" s="71">
        <f ca="1">ABS(D11)*'Data Input'!$B$7</f>
        <v>8.0000000000000069E-4</v>
      </c>
      <c r="K11" s="17" t="str">
        <f t="shared" ca="1" si="4"/>
        <v>N/A</v>
      </c>
      <c r="L11" s="17" t="str">
        <f t="shared" si="5"/>
        <v>LOW</v>
      </c>
    </row>
    <row r="12" spans="1:12" ht="15" customHeight="1" x14ac:dyDescent="0.3">
      <c r="A12" s="64" t="str">
        <f>'Asset Analysis'!A12</f>
        <v>VNQ</v>
      </c>
      <c r="B12" s="63">
        <f>'Asset Analysis'!Q12</f>
        <v>0.05</v>
      </c>
      <c r="C12" s="63">
        <f>'Asset Analysis'!R12</f>
        <v>0.05</v>
      </c>
      <c r="D12" s="44">
        <f t="shared" si="0"/>
        <v>0</v>
      </c>
      <c r="E12" s="63">
        <f>'Data Input'!$B$8</f>
        <v>100000</v>
      </c>
      <c r="F12" s="17" t="str">
        <f t="shared" si="1"/>
        <v>NO</v>
      </c>
      <c r="G12" s="64" t="str">
        <f ca="1">'Asset Analysis'!O12</f>
        <v>SELL</v>
      </c>
      <c r="H12" s="17" t="str">
        <f t="shared" ca="1" si="2"/>
        <v>HOLD</v>
      </c>
      <c r="I12" s="43">
        <f t="shared" ca="1" si="3"/>
        <v>0</v>
      </c>
      <c r="J12" s="71">
        <f ca="1">ABS(D12)*'Data Input'!$B$7</f>
        <v>0</v>
      </c>
      <c r="K12" s="17" t="str">
        <f t="shared" ca="1" si="4"/>
        <v>N/A</v>
      </c>
      <c r="L12" s="17" t="str">
        <f t="shared" si="5"/>
        <v>LOW</v>
      </c>
    </row>
    <row r="13" spans="1:12" ht="15" customHeight="1" x14ac:dyDescent="0.3">
      <c r="A13" s="64" t="str">
        <f>'Asset Analysis'!A13</f>
        <v>XLK</v>
      </c>
      <c r="B13" s="63">
        <f>'Asset Analysis'!Q13</f>
        <v>0.08</v>
      </c>
      <c r="C13" s="63">
        <f>'Asset Analysis'!R13</f>
        <v>0.09</v>
      </c>
      <c r="D13" s="44">
        <f t="shared" si="0"/>
        <v>9.999999999999995E-3</v>
      </c>
      <c r="E13" s="63">
        <f>'Data Input'!$B$8</f>
        <v>100000</v>
      </c>
      <c r="F13" s="17" t="str">
        <f t="shared" si="1"/>
        <v>NO</v>
      </c>
      <c r="G13" s="64" t="str">
        <f ca="1">'Asset Analysis'!O13</f>
        <v>SELL</v>
      </c>
      <c r="H13" s="17" t="str">
        <f t="shared" ca="1" si="2"/>
        <v>TRIM</v>
      </c>
      <c r="I13" s="43">
        <f t="shared" ca="1" si="3"/>
        <v>0</v>
      </c>
      <c r="J13" s="71">
        <f ca="1">ABS(D13)*'Data Input'!$B$7</f>
        <v>1.5999999999999992E-3</v>
      </c>
      <c r="K13" s="17" t="str">
        <f t="shared" ca="1" si="4"/>
        <v>N/A</v>
      </c>
      <c r="L13" s="17" t="str">
        <f t="shared" si="5"/>
        <v>LOW</v>
      </c>
    </row>
    <row r="14" spans="1:12" ht="15" customHeight="1" x14ac:dyDescent="0.3">
      <c r="A14" s="64" t="str">
        <f>'Asset Analysis'!A14</f>
        <v>XLV</v>
      </c>
      <c r="B14" s="63">
        <f>'Asset Analysis'!Q14</f>
        <v>0.04</v>
      </c>
      <c r="C14" s="63">
        <f>'Asset Analysis'!R14</f>
        <v>3.5000000000000003E-2</v>
      </c>
      <c r="D14" s="44">
        <f t="shared" si="0"/>
        <v>-4.9999999999999975E-3</v>
      </c>
      <c r="E14" s="63">
        <f>'Data Input'!$B$8</f>
        <v>100000</v>
      </c>
      <c r="F14" s="17" t="str">
        <f t="shared" si="1"/>
        <v>NO</v>
      </c>
      <c r="G14" s="64" t="str">
        <f ca="1">'Asset Analysis'!O14</f>
        <v>SELL</v>
      </c>
      <c r="H14" s="17" t="str">
        <f t="shared" ca="1" si="2"/>
        <v>HOLD</v>
      </c>
      <c r="I14" s="43">
        <f t="shared" ca="1" si="3"/>
        <v>0</v>
      </c>
      <c r="J14" s="71">
        <f ca="1">ABS(D14)*'Data Input'!$B$7</f>
        <v>7.999999999999996E-4</v>
      </c>
      <c r="K14" s="17" t="str">
        <f t="shared" ca="1" si="4"/>
        <v>N/A</v>
      </c>
      <c r="L14" s="17" t="str">
        <f t="shared" si="5"/>
        <v>LOW</v>
      </c>
    </row>
    <row r="15" spans="1:12" ht="15" customHeight="1" x14ac:dyDescent="0.3">
      <c r="A15" s="64" t="str">
        <f>'Asset Analysis'!A15</f>
        <v>XLE</v>
      </c>
      <c r="B15" s="63">
        <f>'Asset Analysis'!Q15</f>
        <v>0.03</v>
      </c>
      <c r="C15" s="63">
        <f>'Asset Analysis'!R15</f>
        <v>0.03</v>
      </c>
      <c r="D15" s="44">
        <f t="shared" si="0"/>
        <v>0</v>
      </c>
      <c r="E15" s="63">
        <f>'Data Input'!$B$8</f>
        <v>100000</v>
      </c>
      <c r="F15" s="17" t="str">
        <f t="shared" si="1"/>
        <v>NO</v>
      </c>
      <c r="G15" s="64" t="str">
        <f ca="1">'Asset Analysis'!O15</f>
        <v>SELL</v>
      </c>
      <c r="H15" s="17" t="str">
        <f t="shared" ca="1" si="2"/>
        <v>HOLD</v>
      </c>
      <c r="I15" s="43">
        <f t="shared" ca="1" si="3"/>
        <v>0</v>
      </c>
      <c r="J15" s="71">
        <f ca="1">ABS(D15)*'Data Input'!$B$7</f>
        <v>0</v>
      </c>
      <c r="K15" s="17" t="str">
        <f t="shared" ca="1" si="4"/>
        <v>N/A</v>
      </c>
      <c r="L15" s="17" t="str">
        <f t="shared" si="5"/>
        <v>LOW</v>
      </c>
    </row>
    <row r="16" spans="1:12" ht="15" customHeight="1" x14ac:dyDescent="0.3">
      <c r="A16" s="64" t="str">
        <f>'Asset Analysis'!A16</f>
        <v>XLF</v>
      </c>
      <c r="B16" s="63">
        <f>'Asset Analysis'!Q16</f>
        <v>0.04</v>
      </c>
      <c r="C16" s="63">
        <f>'Asset Analysis'!R16</f>
        <v>0.05</v>
      </c>
      <c r="D16" s="44">
        <f t="shared" si="0"/>
        <v>1.0000000000000002E-2</v>
      </c>
      <c r="E16" s="63">
        <f>'Data Input'!$B$8</f>
        <v>100000</v>
      </c>
      <c r="F16" s="17" t="str">
        <f t="shared" si="1"/>
        <v>NO</v>
      </c>
      <c r="G16" s="64" t="str">
        <f ca="1">'Asset Analysis'!O16</f>
        <v>SELL</v>
      </c>
      <c r="H16" s="17" t="str">
        <f t="shared" ca="1" si="2"/>
        <v>TRIM</v>
      </c>
      <c r="I16" s="43">
        <f t="shared" ca="1" si="3"/>
        <v>0</v>
      </c>
      <c r="J16" s="71">
        <f ca="1">ABS(D16)*'Data Input'!$B$7</f>
        <v>1.6000000000000003E-3</v>
      </c>
      <c r="K16" s="17" t="str">
        <f t="shared" ca="1" si="4"/>
        <v>N/A</v>
      </c>
      <c r="L16" s="17" t="str">
        <f t="shared" si="5"/>
        <v>LOW</v>
      </c>
    </row>
    <row r="17" spans="1:12" ht="15" customHeight="1" x14ac:dyDescent="0.3">
      <c r="A17" s="64" t="str">
        <f>'Asset Analysis'!A17</f>
        <v>DBMF</v>
      </c>
      <c r="B17" s="63">
        <f>'Asset Analysis'!Q17</f>
        <v>0.06</v>
      </c>
      <c r="C17" s="63">
        <f>'Asset Analysis'!R17</f>
        <v>5.5E-2</v>
      </c>
      <c r="D17" s="44">
        <f t="shared" si="0"/>
        <v>-4.9999999999999975E-3</v>
      </c>
      <c r="E17" s="63">
        <f>'Data Input'!$B$8</f>
        <v>100000</v>
      </c>
      <c r="F17" s="17" t="str">
        <f t="shared" si="1"/>
        <v>NO</v>
      </c>
      <c r="G17" s="64" t="str">
        <f ca="1">'Asset Analysis'!O17</f>
        <v>SELL</v>
      </c>
      <c r="H17" s="17" t="str">
        <f t="shared" ca="1" si="2"/>
        <v>HOLD</v>
      </c>
      <c r="I17" s="43">
        <f t="shared" ca="1" si="3"/>
        <v>0</v>
      </c>
      <c r="J17" s="71">
        <f ca="1">ABS(D17)*'Data Input'!$B$7</f>
        <v>7.999999999999996E-4</v>
      </c>
      <c r="K17" s="17" t="str">
        <f t="shared" ca="1" si="4"/>
        <v>N/A</v>
      </c>
      <c r="L17" s="17" t="str">
        <f t="shared" si="5"/>
        <v>LOW</v>
      </c>
    </row>
    <row r="18" spans="1:12" ht="15" customHeight="1" x14ac:dyDescent="0.3">
      <c r="A18" s="64" t="str">
        <f>'Asset Analysis'!A18</f>
        <v>CTA</v>
      </c>
      <c r="B18" s="63">
        <f>'Asset Analysis'!Q18</f>
        <v>0.04</v>
      </c>
      <c r="C18" s="63">
        <f>'Asset Analysis'!R18</f>
        <v>0.04</v>
      </c>
      <c r="D18" s="44">
        <f t="shared" si="0"/>
        <v>0</v>
      </c>
      <c r="E18" s="63">
        <f>'Data Input'!$B$8</f>
        <v>100000</v>
      </c>
      <c r="F18" s="17" t="str">
        <f t="shared" si="1"/>
        <v>NO</v>
      </c>
      <c r="G18" s="64" t="str">
        <f ca="1">'Asset Analysis'!O18</f>
        <v>SELL</v>
      </c>
      <c r="H18" s="17" t="str">
        <f t="shared" ca="1" si="2"/>
        <v>HOLD</v>
      </c>
      <c r="I18" s="43">
        <f t="shared" ca="1" si="3"/>
        <v>0</v>
      </c>
      <c r="J18" s="71">
        <f ca="1">ABS(D18)*'Data Input'!$B$7</f>
        <v>0</v>
      </c>
      <c r="K18" s="17" t="str">
        <f t="shared" ca="1" si="4"/>
        <v>N/A</v>
      </c>
      <c r="L18" s="17" t="str">
        <f t="shared" si="5"/>
        <v>LOW</v>
      </c>
    </row>
    <row r="19" spans="1:12" ht="15" customHeight="1" x14ac:dyDescent="0.3">
      <c r="A19" s="64" t="str">
        <f>'Asset Analysis'!A19</f>
        <v>KMLM</v>
      </c>
      <c r="B19" s="63">
        <f>'Asset Analysis'!Q19</f>
        <v>0.04</v>
      </c>
      <c r="C19" s="63">
        <f>'Asset Analysis'!R19</f>
        <v>0.05</v>
      </c>
      <c r="D19" s="44">
        <f t="shared" si="0"/>
        <v>1.0000000000000002E-2</v>
      </c>
      <c r="E19" s="63">
        <f>'Data Input'!$B$8</f>
        <v>100000</v>
      </c>
      <c r="F19" s="17" t="str">
        <f t="shared" si="1"/>
        <v>NO</v>
      </c>
      <c r="G19" s="64" t="str">
        <f ca="1">'Asset Analysis'!O19</f>
        <v>SELL</v>
      </c>
      <c r="H19" s="17" t="str">
        <f t="shared" ca="1" si="2"/>
        <v>TRIM</v>
      </c>
      <c r="I19" s="43">
        <f t="shared" ca="1" si="3"/>
        <v>0</v>
      </c>
      <c r="J19" s="71">
        <f ca="1">ABS(D19)*'Data Input'!$B$7</f>
        <v>1.6000000000000003E-3</v>
      </c>
      <c r="K19" s="17" t="str">
        <f t="shared" ca="1" si="4"/>
        <v>N/A</v>
      </c>
      <c r="L19" s="17" t="str">
        <f t="shared" si="5"/>
        <v>LOW</v>
      </c>
    </row>
    <row r="20" spans="1:12" ht="15" customHeight="1" x14ac:dyDescent="0.3">
      <c r="A20" s="64" t="str">
        <f>'Asset Analysis'!A20</f>
        <v>BTAL</v>
      </c>
      <c r="B20" s="63">
        <f>'Asset Analysis'!Q20</f>
        <v>0.03</v>
      </c>
      <c r="C20" s="63">
        <f>'Asset Analysis'!R20</f>
        <v>2.5000000000000001E-2</v>
      </c>
      <c r="D20" s="44">
        <f t="shared" si="0"/>
        <v>-4.9999999999999975E-3</v>
      </c>
      <c r="E20" s="63">
        <f>'Data Input'!$B$8</f>
        <v>100000</v>
      </c>
      <c r="F20" s="17" t="str">
        <f t="shared" si="1"/>
        <v>NO</v>
      </c>
      <c r="G20" s="64" t="str">
        <f ca="1">'Asset Analysis'!O20</f>
        <v>SELL</v>
      </c>
      <c r="H20" s="17" t="str">
        <f t="shared" ca="1" si="2"/>
        <v>HOLD</v>
      </c>
      <c r="I20" s="43">
        <f t="shared" ca="1" si="3"/>
        <v>0</v>
      </c>
      <c r="J20" s="71">
        <f ca="1">ABS(D20)*'Data Input'!$B$7</f>
        <v>7.999999999999996E-4</v>
      </c>
      <c r="K20" s="17" t="str">
        <f t="shared" ca="1" si="4"/>
        <v>N/A</v>
      </c>
      <c r="L20" s="17" t="str">
        <f t="shared" si="5"/>
        <v>LOW</v>
      </c>
    </row>
    <row r="21" spans="1:12" ht="15" customHeight="1" x14ac:dyDescent="0.3">
      <c r="A21" s="64" t="str">
        <f>'Asset Analysis'!A21</f>
        <v>TAIL</v>
      </c>
      <c r="B21" s="63">
        <f>'Asset Analysis'!Q21</f>
        <v>0.02</v>
      </c>
      <c r="C21" s="63">
        <f>'Asset Analysis'!R21</f>
        <v>0.02</v>
      </c>
      <c r="D21" s="44">
        <f t="shared" si="0"/>
        <v>0</v>
      </c>
      <c r="E21" s="63">
        <f>'Data Input'!$B$8</f>
        <v>100000</v>
      </c>
      <c r="F21" s="17" t="str">
        <f t="shared" si="1"/>
        <v>NO</v>
      </c>
      <c r="G21" s="64" t="str">
        <f ca="1">'Asset Analysis'!O21</f>
        <v>SELL</v>
      </c>
      <c r="H21" s="17" t="str">
        <f t="shared" ca="1" si="2"/>
        <v>HOLD</v>
      </c>
      <c r="I21" s="43">
        <f t="shared" ca="1" si="3"/>
        <v>0</v>
      </c>
      <c r="J21" s="71">
        <f ca="1">ABS(D21)*'Data Input'!$B$7</f>
        <v>0</v>
      </c>
      <c r="K21" s="17" t="str">
        <f t="shared" ca="1" si="4"/>
        <v>N/A</v>
      </c>
      <c r="L21" s="17" t="str">
        <f t="shared" si="5"/>
        <v>LOW</v>
      </c>
    </row>
    <row r="22" spans="1:12" ht="15" customHeight="1" x14ac:dyDescent="0.3">
      <c r="A22" s="64" t="str">
        <f>'Asset Analysis'!A22</f>
        <v>AAPL</v>
      </c>
      <c r="B22" s="63">
        <f>'Asset Analysis'!Q22</f>
        <v>0.02</v>
      </c>
      <c r="C22" s="63">
        <f>'Asset Analysis'!R22</f>
        <v>0.03</v>
      </c>
      <c r="D22" s="44">
        <f t="shared" si="0"/>
        <v>9.9999999999999985E-3</v>
      </c>
      <c r="E22" s="63">
        <f>'Data Input'!$B$8</f>
        <v>100000</v>
      </c>
      <c r="F22" s="17" t="str">
        <f t="shared" si="1"/>
        <v>NO</v>
      </c>
      <c r="G22" s="64" t="str">
        <f ca="1">'Asset Analysis'!O22</f>
        <v>SELL</v>
      </c>
      <c r="H22" s="17" t="str">
        <f t="shared" ca="1" si="2"/>
        <v>TRIM</v>
      </c>
      <c r="I22" s="43">
        <f t="shared" ca="1" si="3"/>
        <v>0</v>
      </c>
      <c r="J22" s="71">
        <f ca="1">ABS(D22)*'Data Input'!$B$7</f>
        <v>1.5999999999999999E-3</v>
      </c>
      <c r="K22" s="17" t="str">
        <f t="shared" ca="1" si="4"/>
        <v>N/A</v>
      </c>
      <c r="L22" s="17" t="str">
        <f t="shared" si="5"/>
        <v>LOW</v>
      </c>
    </row>
    <row r="23" spans="1:12" ht="15" customHeight="1" x14ac:dyDescent="0.3">
      <c r="A23" s="64" t="str">
        <f>'Asset Analysis'!A23</f>
        <v>MSFT</v>
      </c>
      <c r="B23" s="63">
        <f>'Asset Analysis'!Q23</f>
        <v>0.02</v>
      </c>
      <c r="C23" s="63">
        <f>'Asset Analysis'!R23</f>
        <v>1.4999999999999999E-2</v>
      </c>
      <c r="D23" s="44">
        <f t="shared" si="0"/>
        <v>-5.000000000000001E-3</v>
      </c>
      <c r="E23" s="63">
        <f>'Data Input'!$B$8</f>
        <v>100000</v>
      </c>
      <c r="F23" s="17" t="str">
        <f t="shared" si="1"/>
        <v>NO</v>
      </c>
      <c r="G23" s="64" t="str">
        <f ca="1">'Asset Analysis'!O23</f>
        <v>SELL</v>
      </c>
      <c r="H23" s="17" t="str">
        <f t="shared" ca="1" si="2"/>
        <v>HOLD</v>
      </c>
      <c r="I23" s="43">
        <f t="shared" ca="1" si="3"/>
        <v>0</v>
      </c>
      <c r="J23" s="71">
        <f ca="1">ABS(D23)*'Data Input'!$B$7</f>
        <v>8.0000000000000015E-4</v>
      </c>
      <c r="K23" s="17" t="str">
        <f t="shared" ca="1" si="4"/>
        <v>N/A</v>
      </c>
      <c r="L23" s="17" t="str">
        <f t="shared" si="5"/>
        <v>LOW</v>
      </c>
    </row>
    <row r="24" spans="1:12" ht="15" customHeight="1" x14ac:dyDescent="0.3">
      <c r="A24" s="64" t="str">
        <f>'Asset Analysis'!A24</f>
        <v>NVDA</v>
      </c>
      <c r="B24" s="63">
        <f>'Asset Analysis'!Q24</f>
        <v>0.01</v>
      </c>
      <c r="C24" s="63">
        <f>'Asset Analysis'!R24</f>
        <v>0.01</v>
      </c>
      <c r="D24" s="44">
        <f t="shared" si="0"/>
        <v>0</v>
      </c>
      <c r="E24" s="63">
        <f>'Data Input'!$B$8</f>
        <v>100000</v>
      </c>
      <c r="F24" s="17" t="str">
        <f t="shared" si="1"/>
        <v>NO</v>
      </c>
      <c r="G24" s="64" t="str">
        <f ca="1">'Asset Analysis'!O24</f>
        <v>SELL</v>
      </c>
      <c r="H24" s="17" t="str">
        <f t="shared" ca="1" si="2"/>
        <v>HOLD</v>
      </c>
      <c r="I24" s="43">
        <f t="shared" ca="1" si="3"/>
        <v>0</v>
      </c>
      <c r="J24" s="71">
        <f ca="1">ABS(D24)*'Data Input'!$B$7</f>
        <v>0</v>
      </c>
      <c r="K24" s="17" t="str">
        <f t="shared" ca="1" si="4"/>
        <v>N/A</v>
      </c>
      <c r="L24" s="17" t="str">
        <f t="shared" si="5"/>
        <v>LOW</v>
      </c>
    </row>
    <row r="25" spans="1:12" ht="15" customHeight="1" x14ac:dyDescent="0.3">
      <c r="A25" s="64" t="str">
        <f>'Asset Analysis'!A25</f>
        <v>JPM</v>
      </c>
      <c r="B25" s="63">
        <f>'Asset Analysis'!Q25</f>
        <v>0.02</v>
      </c>
      <c r="C25" s="63">
        <f>'Asset Analysis'!R25</f>
        <v>0.03</v>
      </c>
      <c r="D25" s="44">
        <f t="shared" si="0"/>
        <v>9.9999999999999985E-3</v>
      </c>
      <c r="E25" s="63">
        <f>'Data Input'!$B$8</f>
        <v>100000</v>
      </c>
      <c r="F25" s="17" t="str">
        <f t="shared" si="1"/>
        <v>NO</v>
      </c>
      <c r="G25" s="64" t="str">
        <f ca="1">'Asset Analysis'!O25</f>
        <v>SELL</v>
      </c>
      <c r="H25" s="17" t="str">
        <f t="shared" ca="1" si="2"/>
        <v>TRIM</v>
      </c>
      <c r="I25" s="43">
        <f t="shared" ca="1" si="3"/>
        <v>0</v>
      </c>
      <c r="J25" s="71">
        <f ca="1">ABS(D25)*'Data Input'!$B$7</f>
        <v>1.5999999999999999E-3</v>
      </c>
      <c r="K25" s="17" t="str">
        <f t="shared" ca="1" si="4"/>
        <v>N/A</v>
      </c>
      <c r="L25" s="17" t="str">
        <f t="shared" si="5"/>
        <v>LOW</v>
      </c>
    </row>
    <row r="26" spans="1:12" ht="15" customHeight="1" x14ac:dyDescent="0.3">
      <c r="A26" s="64" t="str">
        <f>'Asset Analysis'!A26</f>
        <v>VFIAX</v>
      </c>
      <c r="B26" s="63">
        <f>'Asset Analysis'!Q26</f>
        <v>0</v>
      </c>
      <c r="C26" s="63">
        <f>'Asset Analysis'!R26</f>
        <v>-5.0000000000000001E-3</v>
      </c>
      <c r="D26" s="44">
        <f t="shared" si="0"/>
        <v>-5.0000000000000001E-3</v>
      </c>
      <c r="E26" s="63">
        <f>'Data Input'!$B$8</f>
        <v>100000</v>
      </c>
      <c r="F26" s="17" t="str">
        <f t="shared" si="1"/>
        <v>NO</v>
      </c>
      <c r="G26" s="64" t="str">
        <f ca="1">'Asset Analysis'!O26</f>
        <v>SELL</v>
      </c>
      <c r="H26" s="17" t="str">
        <f t="shared" ca="1" si="2"/>
        <v>HOLD</v>
      </c>
      <c r="I26" s="43">
        <f t="shared" ca="1" si="3"/>
        <v>0</v>
      </c>
      <c r="J26" s="71">
        <f ca="1">ABS(D26)*'Data Input'!$B$7</f>
        <v>8.0000000000000004E-4</v>
      </c>
      <c r="K26" s="17" t="str">
        <f t="shared" ca="1" si="4"/>
        <v>N/A</v>
      </c>
      <c r="L26" s="17" t="str">
        <f t="shared" si="5"/>
        <v>LOW</v>
      </c>
    </row>
    <row r="27" spans="1:12" ht="15" customHeight="1" x14ac:dyDescent="0.3">
      <c r="A27" s="64" t="str">
        <f>'Asset Analysis'!A27</f>
        <v>PIMIX</v>
      </c>
      <c r="B27" s="63">
        <f>'Asset Analysis'!Q27</f>
        <v>0</v>
      </c>
      <c r="C27" s="63">
        <f>'Asset Analysis'!R27</f>
        <v>0</v>
      </c>
      <c r="D27" s="44">
        <f t="shared" si="0"/>
        <v>0</v>
      </c>
      <c r="E27" s="63">
        <f>'Data Input'!$B$8</f>
        <v>100000</v>
      </c>
      <c r="F27" s="17" t="str">
        <f t="shared" si="1"/>
        <v>NO</v>
      </c>
      <c r="G27" s="64" t="str">
        <f ca="1">'Asset Analysis'!O27</f>
        <v>SELL</v>
      </c>
      <c r="H27" s="17" t="str">
        <f t="shared" ca="1" si="2"/>
        <v>HOLD</v>
      </c>
      <c r="I27" s="43">
        <f t="shared" ca="1" si="3"/>
        <v>0</v>
      </c>
      <c r="J27" s="71">
        <f ca="1">ABS(D27)*'Data Input'!$B$7</f>
        <v>0</v>
      </c>
      <c r="K27" s="17" t="str">
        <f t="shared" ca="1" si="4"/>
        <v>N/A</v>
      </c>
      <c r="L27" s="17" t="str">
        <f t="shared" si="5"/>
        <v>LOW</v>
      </c>
    </row>
    <row r="28" spans="1:12" ht="1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" customHeight="1" x14ac:dyDescent="0.3">
      <c r="A29" s="46" t="s">
        <v>409</v>
      </c>
      <c r="B29" s="11"/>
      <c r="C29" s="11"/>
      <c r="D29" s="11"/>
      <c r="E29" s="11"/>
      <c r="F29" s="11"/>
      <c r="G29" s="11"/>
      <c r="H29" s="11"/>
      <c r="I29" s="11"/>
      <c r="J29" s="75">
        <f ca="1">SUM(J4:J27)</f>
        <v>1.9199999999999998E-2</v>
      </c>
      <c r="K29" s="11"/>
      <c r="L29" s="11"/>
    </row>
    <row r="30" spans="1:12" ht="15" customHeight="1" x14ac:dyDescent="0.3">
      <c r="A30" s="46" t="s">
        <v>410</v>
      </c>
      <c r="B30" s="11"/>
      <c r="C30" s="11"/>
      <c r="D30" s="11"/>
      <c r="E30" s="11"/>
      <c r="F30" s="11"/>
      <c r="G30" s="11"/>
      <c r="H30" s="11"/>
      <c r="I30" s="11"/>
      <c r="J30" s="76">
        <f ca="1">COUNTIF(H4:H27,"&lt;&gt;"&amp;"HOLD")</f>
        <v>8</v>
      </c>
      <c r="K30" s="11"/>
      <c r="L30" s="11"/>
    </row>
    <row r="31" spans="1:12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6B6D4"/>
  </sheetPr>
  <dimension ref="A1:H30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8" customWidth="1"/>
    <col min="3" max="3" width="9" customWidth="1"/>
    <col min="4" max="4" width="8" customWidth="1"/>
    <col min="5" max="5" width="9" customWidth="1"/>
    <col min="6" max="6" width="10" customWidth="1"/>
    <col min="7" max="7" width="14" customWidth="1"/>
  </cols>
  <sheetData>
    <row r="1" spans="1:8" ht="17.25" customHeight="1" x14ac:dyDescent="0.3">
      <c r="A1" s="10" t="s">
        <v>411</v>
      </c>
      <c r="B1" s="11"/>
      <c r="C1" s="11"/>
      <c r="D1" s="11"/>
      <c r="E1" s="11"/>
      <c r="F1" s="11"/>
      <c r="G1" s="11"/>
      <c r="H1" s="11"/>
    </row>
    <row r="2" spans="1:8" ht="15" customHeight="1" x14ac:dyDescent="0.3">
      <c r="A2" s="11"/>
      <c r="B2" s="11"/>
      <c r="C2" s="11"/>
      <c r="D2" s="11"/>
      <c r="E2" s="11"/>
      <c r="F2" s="11"/>
      <c r="G2" s="11"/>
      <c r="H2" s="11"/>
    </row>
    <row r="3" spans="1:8" ht="15" customHeight="1" x14ac:dyDescent="0.3">
      <c r="A3" s="32" t="s">
        <v>412</v>
      </c>
      <c r="B3" s="32" t="s">
        <v>413</v>
      </c>
      <c r="C3" s="32" t="s">
        <v>401</v>
      </c>
      <c r="D3" s="32" t="s">
        <v>414</v>
      </c>
      <c r="E3" s="32" t="s">
        <v>402</v>
      </c>
      <c r="F3" s="32" t="s">
        <v>415</v>
      </c>
      <c r="G3" s="32" t="s">
        <v>220</v>
      </c>
      <c r="H3" s="11"/>
    </row>
    <row r="4" spans="1:8" ht="15" customHeight="1" x14ac:dyDescent="0.3">
      <c r="A4" s="19" t="s">
        <v>416</v>
      </c>
      <c r="B4" s="23">
        <v>0.15</v>
      </c>
      <c r="C4" s="23">
        <v>0.3</v>
      </c>
      <c r="D4" s="23">
        <v>0.45</v>
      </c>
      <c r="E4" s="23">
        <v>0.3</v>
      </c>
      <c r="F4" s="44">
        <f t="shared" ref="F4:F14" si="0">E4-C4</f>
        <v>0</v>
      </c>
      <c r="G4" s="17" t="str">
        <f t="shared" ref="G4:G14" si="1">IF(AND(E4&gt;=B4,E4&lt;=D4),"OK","⚠ OUT OF BAND")</f>
        <v>OK</v>
      </c>
      <c r="H4" s="11"/>
    </row>
    <row r="5" spans="1:8" ht="15" customHeight="1" x14ac:dyDescent="0.3">
      <c r="A5" s="19" t="s">
        <v>417</v>
      </c>
      <c r="B5" s="23">
        <v>0</v>
      </c>
      <c r="C5" s="23">
        <v>0.05</v>
      </c>
      <c r="D5" s="23">
        <v>0.15</v>
      </c>
      <c r="E5" s="23">
        <v>0.06</v>
      </c>
      <c r="F5" s="44">
        <f t="shared" si="0"/>
        <v>9.999999999999995E-3</v>
      </c>
      <c r="G5" s="17" t="str">
        <f t="shared" si="1"/>
        <v>OK</v>
      </c>
      <c r="H5" s="11"/>
    </row>
    <row r="6" spans="1:8" ht="15" customHeight="1" x14ac:dyDescent="0.3">
      <c r="A6" s="19" t="s">
        <v>418</v>
      </c>
      <c r="B6" s="23">
        <v>0.05</v>
      </c>
      <c r="C6" s="23">
        <v>0.1</v>
      </c>
      <c r="D6" s="23">
        <v>0.2</v>
      </c>
      <c r="E6" s="23">
        <v>0.09</v>
      </c>
      <c r="F6" s="44">
        <f t="shared" si="0"/>
        <v>-1.0000000000000009E-2</v>
      </c>
      <c r="G6" s="17" t="str">
        <f t="shared" si="1"/>
        <v>OK</v>
      </c>
      <c r="H6" s="11"/>
    </row>
    <row r="7" spans="1:8" ht="15" customHeight="1" x14ac:dyDescent="0.3">
      <c r="A7" s="19" t="s">
        <v>419</v>
      </c>
      <c r="B7" s="23">
        <v>0</v>
      </c>
      <c r="C7" s="23">
        <v>0.05</v>
      </c>
      <c r="D7" s="23">
        <v>0.1</v>
      </c>
      <c r="E7" s="23">
        <v>0.05</v>
      </c>
      <c r="F7" s="44">
        <f t="shared" si="0"/>
        <v>0</v>
      </c>
      <c r="G7" s="17" t="str">
        <f t="shared" si="1"/>
        <v>OK</v>
      </c>
      <c r="H7" s="11"/>
    </row>
    <row r="8" spans="1:8" ht="15" customHeight="1" x14ac:dyDescent="0.3">
      <c r="A8" s="19" t="s">
        <v>420</v>
      </c>
      <c r="B8" s="23">
        <v>0.1</v>
      </c>
      <c r="C8" s="23">
        <v>0.15</v>
      </c>
      <c r="D8" s="23">
        <v>0.3</v>
      </c>
      <c r="E8" s="23">
        <v>0.16</v>
      </c>
      <c r="F8" s="44">
        <f t="shared" si="0"/>
        <v>1.0000000000000009E-2</v>
      </c>
      <c r="G8" s="17" t="str">
        <f t="shared" si="1"/>
        <v>OK</v>
      </c>
      <c r="H8" s="11"/>
    </row>
    <row r="9" spans="1:8" ht="15" customHeight="1" x14ac:dyDescent="0.3">
      <c r="A9" s="19" t="s">
        <v>421</v>
      </c>
      <c r="B9" s="23">
        <v>0</v>
      </c>
      <c r="C9" s="23">
        <v>0.05</v>
      </c>
      <c r="D9" s="23">
        <v>0.15</v>
      </c>
      <c r="E9" s="23">
        <v>0.04</v>
      </c>
      <c r="F9" s="44">
        <f t="shared" si="0"/>
        <v>-1.0000000000000002E-2</v>
      </c>
      <c r="G9" s="17" t="str">
        <f t="shared" si="1"/>
        <v>OK</v>
      </c>
      <c r="H9" s="11"/>
    </row>
    <row r="10" spans="1:8" ht="15" customHeight="1" x14ac:dyDescent="0.3">
      <c r="A10" s="19" t="s">
        <v>422</v>
      </c>
      <c r="B10" s="23">
        <v>0</v>
      </c>
      <c r="C10" s="23">
        <v>0.05</v>
      </c>
      <c r="D10" s="23">
        <v>0.1</v>
      </c>
      <c r="E10" s="23">
        <v>0.05</v>
      </c>
      <c r="F10" s="44">
        <f t="shared" si="0"/>
        <v>0</v>
      </c>
      <c r="G10" s="17" t="str">
        <f t="shared" si="1"/>
        <v>OK</v>
      </c>
      <c r="H10" s="11"/>
    </row>
    <row r="11" spans="1:8" ht="15" customHeight="1" x14ac:dyDescent="0.3">
      <c r="A11" s="19" t="s">
        <v>423</v>
      </c>
      <c r="B11" s="23">
        <v>0</v>
      </c>
      <c r="C11" s="23">
        <v>0.1</v>
      </c>
      <c r="D11" s="23">
        <v>0.15</v>
      </c>
      <c r="E11" s="23">
        <v>0.11</v>
      </c>
      <c r="F11" s="44">
        <f t="shared" si="0"/>
        <v>9.999999999999995E-3</v>
      </c>
      <c r="G11" s="17" t="str">
        <f t="shared" si="1"/>
        <v>OK</v>
      </c>
      <c r="H11" s="11"/>
    </row>
    <row r="12" spans="1:8" ht="15" customHeight="1" x14ac:dyDescent="0.3">
      <c r="A12" s="19" t="s">
        <v>424</v>
      </c>
      <c r="B12" s="23">
        <v>0</v>
      </c>
      <c r="C12" s="23">
        <v>0.08</v>
      </c>
      <c r="D12" s="23">
        <v>0.15</v>
      </c>
      <c r="E12" s="23">
        <v>7.0000000000000007E-2</v>
      </c>
      <c r="F12" s="44">
        <f t="shared" si="0"/>
        <v>-9.999999999999995E-3</v>
      </c>
      <c r="G12" s="17" t="str">
        <f t="shared" si="1"/>
        <v>OK</v>
      </c>
      <c r="H12" s="11"/>
    </row>
    <row r="13" spans="1:8" ht="15" customHeight="1" x14ac:dyDescent="0.3">
      <c r="A13" s="19" t="s">
        <v>425</v>
      </c>
      <c r="B13" s="23">
        <v>0</v>
      </c>
      <c r="C13" s="23">
        <v>0.03</v>
      </c>
      <c r="D13" s="23">
        <v>7.0000000000000007E-2</v>
      </c>
      <c r="E13" s="23">
        <v>0.03</v>
      </c>
      <c r="F13" s="44">
        <f t="shared" si="0"/>
        <v>0</v>
      </c>
      <c r="G13" s="17" t="str">
        <f t="shared" si="1"/>
        <v>OK</v>
      </c>
      <c r="H13" s="11"/>
    </row>
    <row r="14" spans="1:8" ht="15" customHeight="1" x14ac:dyDescent="0.3">
      <c r="A14" s="19" t="s">
        <v>426</v>
      </c>
      <c r="B14" s="23">
        <v>0</v>
      </c>
      <c r="C14" s="23">
        <v>0.04</v>
      </c>
      <c r="D14" s="23">
        <v>0.2</v>
      </c>
      <c r="E14" s="23">
        <v>0.05</v>
      </c>
      <c r="F14" s="44">
        <f t="shared" si="0"/>
        <v>1.0000000000000002E-2</v>
      </c>
      <c r="G14" s="17" t="str">
        <f t="shared" si="1"/>
        <v>OK</v>
      </c>
      <c r="H14" s="11"/>
    </row>
    <row r="15" spans="1:8" ht="15" customHeight="1" x14ac:dyDescent="0.3">
      <c r="A15" s="46" t="s">
        <v>427</v>
      </c>
      <c r="B15" s="11"/>
      <c r="C15" s="56">
        <f>SUM(C4:C14)</f>
        <v>1</v>
      </c>
      <c r="D15" s="11"/>
      <c r="E15" s="56">
        <f>SUM(E4:E14)</f>
        <v>1.01</v>
      </c>
      <c r="F15" s="11"/>
      <c r="G15" s="11"/>
      <c r="H15" s="11"/>
    </row>
    <row r="16" spans="1:8" ht="15" customHeight="1" x14ac:dyDescent="0.3">
      <c r="A16" s="11"/>
      <c r="B16" s="11"/>
      <c r="C16" s="11"/>
      <c r="D16" s="11"/>
      <c r="E16" s="11"/>
      <c r="F16" s="11"/>
      <c r="G16" s="11"/>
      <c r="H16" s="11"/>
    </row>
    <row r="17" spans="1:8" ht="15" customHeight="1" x14ac:dyDescent="0.3">
      <c r="A17" s="11"/>
      <c r="B17" s="11"/>
      <c r="C17" s="11"/>
      <c r="D17" s="11"/>
      <c r="E17" s="11"/>
      <c r="F17" s="11"/>
      <c r="G17" s="11"/>
      <c r="H17" s="11"/>
    </row>
    <row r="18" spans="1:8" ht="15" customHeight="1" x14ac:dyDescent="0.3">
      <c r="A18" s="11"/>
      <c r="B18" s="11"/>
      <c r="C18" s="11"/>
      <c r="D18" s="11"/>
      <c r="E18" s="11"/>
      <c r="F18" s="11"/>
      <c r="G18" s="11"/>
      <c r="H18" s="11"/>
    </row>
    <row r="19" spans="1:8" ht="15" customHeight="1" x14ac:dyDescent="0.3">
      <c r="A19" s="11"/>
      <c r="B19" s="11"/>
      <c r="C19" s="11"/>
      <c r="D19" s="11"/>
      <c r="E19" s="11"/>
      <c r="F19" s="11"/>
      <c r="G19" s="11"/>
      <c r="H19" s="11"/>
    </row>
    <row r="20" spans="1:8" ht="15" customHeight="1" x14ac:dyDescent="0.3">
      <c r="A20" s="11"/>
      <c r="B20" s="11"/>
      <c r="C20" s="11"/>
      <c r="D20" s="11"/>
      <c r="E20" s="11"/>
      <c r="F20" s="11"/>
      <c r="G20" s="11"/>
      <c r="H20" s="11"/>
    </row>
    <row r="21" spans="1:8" ht="15" customHeight="1" x14ac:dyDescent="0.3">
      <c r="A21" s="11"/>
      <c r="B21" s="11"/>
      <c r="C21" s="11"/>
      <c r="D21" s="11"/>
      <c r="E21" s="11"/>
      <c r="F21" s="11"/>
      <c r="G21" s="11"/>
      <c r="H21" s="11"/>
    </row>
    <row r="22" spans="1:8" ht="15" customHeight="1" x14ac:dyDescent="0.3">
      <c r="A22" s="11"/>
      <c r="B22" s="11"/>
      <c r="C22" s="11"/>
      <c r="D22" s="11"/>
      <c r="E22" s="11"/>
      <c r="F22" s="11"/>
      <c r="G22" s="11"/>
      <c r="H22" s="11"/>
    </row>
    <row r="23" spans="1:8" ht="15" customHeight="1" x14ac:dyDescent="0.3">
      <c r="A23" s="11"/>
      <c r="B23" s="11"/>
      <c r="C23" s="11"/>
      <c r="D23" s="11"/>
      <c r="E23" s="11"/>
      <c r="F23" s="11"/>
      <c r="G23" s="11"/>
      <c r="H23" s="11"/>
    </row>
    <row r="24" spans="1:8" ht="15" customHeight="1" x14ac:dyDescent="0.3">
      <c r="A24" s="11"/>
      <c r="B24" s="11"/>
      <c r="C24" s="11"/>
      <c r="D24" s="11"/>
      <c r="E24" s="11"/>
      <c r="F24" s="11"/>
      <c r="G24" s="11"/>
      <c r="H24" s="11"/>
    </row>
    <row r="25" spans="1:8" ht="15" customHeight="1" x14ac:dyDescent="0.3">
      <c r="A25" s="11"/>
      <c r="B25" s="11"/>
      <c r="C25" s="11"/>
      <c r="D25" s="11"/>
      <c r="E25" s="11"/>
      <c r="F25" s="11"/>
      <c r="G25" s="11"/>
      <c r="H25" s="11"/>
    </row>
    <row r="26" spans="1:8" ht="15" customHeight="1" x14ac:dyDescent="0.3">
      <c r="A26" s="11"/>
      <c r="B26" s="11"/>
      <c r="C26" s="11"/>
      <c r="D26" s="11"/>
      <c r="E26" s="11"/>
      <c r="F26" s="11"/>
      <c r="G26" s="11"/>
      <c r="H26" s="11"/>
    </row>
    <row r="27" spans="1:8" ht="15" customHeight="1" x14ac:dyDescent="0.3">
      <c r="A27" s="11"/>
      <c r="B27" s="11"/>
      <c r="C27" s="11"/>
      <c r="D27" s="11"/>
      <c r="E27" s="11"/>
      <c r="F27" s="11"/>
      <c r="G27" s="11"/>
      <c r="H27" s="11"/>
    </row>
    <row r="28" spans="1:8" ht="15" customHeight="1" x14ac:dyDescent="0.3">
      <c r="A28" s="11"/>
      <c r="B28" s="11"/>
      <c r="C28" s="11"/>
      <c r="D28" s="11"/>
      <c r="E28" s="11"/>
      <c r="F28" s="11"/>
      <c r="G28" s="11"/>
      <c r="H28" s="11"/>
    </row>
    <row r="29" spans="1:8" ht="15" customHeight="1" x14ac:dyDescent="0.3">
      <c r="A29" s="11"/>
      <c r="B29" s="11"/>
      <c r="C29" s="11"/>
      <c r="D29" s="11"/>
      <c r="E29" s="11"/>
      <c r="F29" s="11"/>
      <c r="G29" s="11"/>
      <c r="H29" s="11"/>
    </row>
    <row r="30" spans="1:8" ht="15" customHeight="1" x14ac:dyDescent="0.3">
      <c r="A30" s="11"/>
      <c r="B30" s="11"/>
      <c r="C30" s="11"/>
      <c r="D30" s="11"/>
      <c r="E30" s="11"/>
      <c r="F30" s="11"/>
      <c r="G30" s="11"/>
      <c r="H3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855F7"/>
  </sheetPr>
  <dimension ref="A1:D30"/>
  <sheetViews>
    <sheetView zoomScaleNormal="100" workbookViewId="0"/>
  </sheetViews>
  <sheetFormatPr defaultColWidth="8.6640625" defaultRowHeight="14.4" x14ac:dyDescent="0.3"/>
  <cols>
    <col min="1" max="1" width="70" customWidth="1"/>
    <col min="2" max="4" width="14" customWidth="1"/>
  </cols>
  <sheetData>
    <row r="1" spans="1:4" ht="17.25" customHeight="1" x14ac:dyDescent="0.3">
      <c r="A1" s="10" t="s">
        <v>428</v>
      </c>
      <c r="B1" s="11"/>
      <c r="C1" s="11"/>
      <c r="D1" s="11"/>
    </row>
    <row r="2" spans="1:4" ht="15" customHeight="1" x14ac:dyDescent="0.3">
      <c r="A2" s="11"/>
      <c r="B2" s="11"/>
      <c r="C2" s="11"/>
      <c r="D2" s="11"/>
    </row>
    <row r="3" spans="1:4" ht="15" customHeight="1" x14ac:dyDescent="0.3">
      <c r="A3" s="77" t="s">
        <v>429</v>
      </c>
      <c r="B3" s="11"/>
      <c r="C3" s="11"/>
      <c r="D3" s="11"/>
    </row>
    <row r="4" spans="1:4" ht="15" customHeight="1" x14ac:dyDescent="0.3">
      <c r="A4" s="5" t="s">
        <v>430</v>
      </c>
      <c r="B4" s="5"/>
      <c r="C4" s="5"/>
      <c r="D4" s="5"/>
    </row>
    <row r="5" spans="1:4" ht="15" customHeight="1" x14ac:dyDescent="0.3">
      <c r="A5" s="5" t="s">
        <v>431</v>
      </c>
      <c r="B5" s="5"/>
      <c r="C5" s="5"/>
      <c r="D5" s="5"/>
    </row>
    <row r="6" spans="1:4" ht="15" customHeight="1" x14ac:dyDescent="0.3">
      <c r="A6" s="5" t="s">
        <v>432</v>
      </c>
      <c r="B6" s="5"/>
      <c r="C6" s="5"/>
      <c r="D6" s="5"/>
    </row>
    <row r="7" spans="1:4" ht="15" customHeight="1" x14ac:dyDescent="0.3">
      <c r="A7" s="5" t="s">
        <v>433</v>
      </c>
      <c r="B7" s="5"/>
      <c r="C7" s="5"/>
      <c r="D7" s="5"/>
    </row>
    <row r="8" spans="1:4" ht="15" customHeight="1" x14ac:dyDescent="0.3">
      <c r="A8" s="5" t="s">
        <v>434</v>
      </c>
      <c r="B8" s="5"/>
      <c r="C8" s="5"/>
      <c r="D8" s="5"/>
    </row>
    <row r="9" spans="1:4" ht="15" customHeight="1" x14ac:dyDescent="0.3">
      <c r="A9" s="5" t="s">
        <v>435</v>
      </c>
      <c r="B9" s="5"/>
      <c r="C9" s="5"/>
      <c r="D9" s="5"/>
    </row>
    <row r="10" spans="1:4" ht="15" customHeight="1" x14ac:dyDescent="0.3">
      <c r="A10" s="5" t="s">
        <v>436</v>
      </c>
      <c r="B10" s="5"/>
      <c r="C10" s="5"/>
      <c r="D10" s="5"/>
    </row>
    <row r="11" spans="1:4" ht="15" customHeight="1" x14ac:dyDescent="0.3">
      <c r="A11" s="5" t="s">
        <v>437</v>
      </c>
      <c r="B11" s="5"/>
      <c r="C11" s="5"/>
      <c r="D11" s="5"/>
    </row>
    <row r="12" spans="1:4" ht="15" customHeight="1" x14ac:dyDescent="0.3">
      <c r="A12" s="5" t="s">
        <v>438</v>
      </c>
      <c r="B12" s="5"/>
      <c r="C12" s="5"/>
      <c r="D12" s="5"/>
    </row>
    <row r="13" spans="1:4" ht="15" customHeight="1" x14ac:dyDescent="0.3">
      <c r="A13" s="11"/>
      <c r="B13" s="11"/>
      <c r="C13" s="11"/>
      <c r="D13" s="11"/>
    </row>
    <row r="14" spans="1:4" ht="15" customHeight="1" x14ac:dyDescent="0.3">
      <c r="A14" s="11"/>
      <c r="B14" s="11"/>
      <c r="C14" s="11"/>
      <c r="D14" s="11"/>
    </row>
    <row r="15" spans="1:4" ht="15" customHeight="1" x14ac:dyDescent="0.3">
      <c r="A15" s="18" t="s">
        <v>439</v>
      </c>
      <c r="B15" s="11"/>
      <c r="C15" s="11"/>
      <c r="D15" s="11"/>
    </row>
    <row r="16" spans="1:4" ht="15" customHeight="1" x14ac:dyDescent="0.3">
      <c r="A16" s="4" t="s">
        <v>440</v>
      </c>
      <c r="B16" s="4"/>
      <c r="C16" s="4"/>
      <c r="D16" s="4"/>
    </row>
    <row r="17" spans="1:4" ht="15" customHeight="1" x14ac:dyDescent="0.3">
      <c r="A17" s="4" t="s">
        <v>441</v>
      </c>
      <c r="B17" s="4"/>
      <c r="C17" s="4"/>
      <c r="D17" s="4"/>
    </row>
    <row r="18" spans="1:4" ht="15" customHeight="1" x14ac:dyDescent="0.3">
      <c r="A18" s="4" t="s">
        <v>442</v>
      </c>
      <c r="B18" s="4"/>
      <c r="C18" s="4"/>
      <c r="D18" s="4"/>
    </row>
    <row r="19" spans="1:4" ht="15" customHeight="1" x14ac:dyDescent="0.3">
      <c r="A19" s="4" t="s">
        <v>443</v>
      </c>
      <c r="B19" s="4"/>
      <c r="C19" s="4"/>
      <c r="D19" s="4"/>
    </row>
    <row r="20" spans="1:4" ht="15" customHeight="1" x14ac:dyDescent="0.3">
      <c r="A20" s="4" t="s">
        <v>444</v>
      </c>
      <c r="B20" s="4"/>
      <c r="C20" s="4"/>
      <c r="D20" s="4"/>
    </row>
    <row r="21" spans="1:4" ht="15" customHeight="1" x14ac:dyDescent="0.3">
      <c r="A21" s="4" t="s">
        <v>445</v>
      </c>
      <c r="B21" s="4"/>
      <c r="C21" s="4"/>
      <c r="D21" s="4"/>
    </row>
    <row r="22" spans="1:4" ht="15" customHeight="1" x14ac:dyDescent="0.3">
      <c r="A22" s="4" t="s">
        <v>446</v>
      </c>
      <c r="B22" s="4"/>
      <c r="C22" s="4"/>
      <c r="D22" s="4"/>
    </row>
    <row r="23" spans="1:4" ht="15" customHeight="1" x14ac:dyDescent="0.3">
      <c r="A23" s="4" t="s">
        <v>447</v>
      </c>
      <c r="B23" s="4"/>
      <c r="C23" s="4"/>
      <c r="D23" s="4"/>
    </row>
    <row r="24" spans="1:4" ht="15" customHeight="1" x14ac:dyDescent="0.3">
      <c r="A24" s="4" t="s">
        <v>448</v>
      </c>
      <c r="B24" s="4"/>
      <c r="C24" s="4"/>
      <c r="D24" s="4"/>
    </row>
    <row r="25" spans="1:4" ht="15" customHeight="1" x14ac:dyDescent="0.3">
      <c r="A25" s="4" t="s">
        <v>449</v>
      </c>
      <c r="B25" s="4"/>
      <c r="C25" s="4"/>
      <c r="D25" s="4"/>
    </row>
    <row r="26" spans="1:4" ht="15" customHeight="1" x14ac:dyDescent="0.3">
      <c r="A26" s="4" t="s">
        <v>450</v>
      </c>
      <c r="B26" s="4"/>
      <c r="C26" s="4"/>
      <c r="D26" s="4"/>
    </row>
    <row r="27" spans="1:4" ht="15" customHeight="1" x14ac:dyDescent="0.3">
      <c r="A27" s="4" t="s">
        <v>451</v>
      </c>
      <c r="B27" s="4"/>
      <c r="C27" s="4"/>
      <c r="D27" s="4"/>
    </row>
    <row r="28" spans="1:4" ht="15" customHeight="1" x14ac:dyDescent="0.3">
      <c r="A28" s="11"/>
      <c r="B28" s="11"/>
      <c r="C28" s="11"/>
      <c r="D28" s="11"/>
    </row>
    <row r="29" spans="1:4" ht="15" customHeight="1" x14ac:dyDescent="0.3">
      <c r="A29" s="11"/>
      <c r="B29" s="11"/>
      <c r="C29" s="11"/>
      <c r="D29" s="11"/>
    </row>
    <row r="30" spans="1:4" ht="15" customHeight="1" x14ac:dyDescent="0.3">
      <c r="A30" s="11"/>
      <c r="B30" s="11"/>
      <c r="C30" s="11"/>
      <c r="D30" s="11"/>
    </row>
  </sheetData>
  <mergeCells count="21">
    <mergeCell ref="A27:D27"/>
    <mergeCell ref="A22:D22"/>
    <mergeCell ref="A23:D23"/>
    <mergeCell ref="A24:D24"/>
    <mergeCell ref="A25:D25"/>
    <mergeCell ref="A26:D26"/>
    <mergeCell ref="A17:D17"/>
    <mergeCell ref="A18:D18"/>
    <mergeCell ref="A19:D19"/>
    <mergeCell ref="A20:D20"/>
    <mergeCell ref="A21:D21"/>
    <mergeCell ref="A9:D9"/>
    <mergeCell ref="A10:D10"/>
    <mergeCell ref="A11:D11"/>
    <mergeCell ref="A12:D12"/>
    <mergeCell ref="A16:D16"/>
    <mergeCell ref="A4:D4"/>
    <mergeCell ref="A5:D5"/>
    <mergeCell ref="A6:D6"/>
    <mergeCell ref="A7:D7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D4AA"/>
  </sheetPr>
  <dimension ref="A1:AD115"/>
  <sheetViews>
    <sheetView zoomScaleNormal="100" workbookViewId="0">
      <pane ySplit="16" topLeftCell="A17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8" customWidth="1"/>
    <col min="3" max="3" width="12" customWidth="1"/>
    <col min="4" max="4" width="14" customWidth="1"/>
    <col min="5" max="8" width="9" customWidth="1"/>
    <col min="9" max="9" width="10" customWidth="1"/>
    <col min="10" max="10" width="8" customWidth="1"/>
    <col min="11" max="11" width="9" customWidth="1"/>
    <col min="12" max="12" width="7" customWidth="1"/>
    <col min="13" max="18" width="8" customWidth="1"/>
    <col min="19" max="19" width="9" customWidth="1"/>
    <col min="20" max="20" width="8" customWidth="1"/>
    <col min="21" max="21" width="10" customWidth="1"/>
    <col min="22" max="22" width="12" customWidth="1"/>
    <col min="23" max="23" width="10" customWidth="1"/>
    <col min="24" max="24" width="12" customWidth="1"/>
    <col min="25" max="25" width="10" customWidth="1"/>
    <col min="26" max="26" width="11" customWidth="1"/>
    <col min="27" max="27" width="22" customWidth="1"/>
    <col min="28" max="28" width="20" customWidth="1"/>
  </cols>
  <sheetData>
    <row r="1" spans="1:30" ht="17.25" customHeight="1" x14ac:dyDescent="0.3">
      <c r="A1" s="10" t="s">
        <v>452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5" customHeight="1" x14ac:dyDescent="0.3">
      <c r="A2" s="8" t="s">
        <v>453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11"/>
      <c r="X2" s="11"/>
      <c r="Y2" s="11"/>
      <c r="Z2" s="11"/>
      <c r="AA2" s="11"/>
      <c r="AB2" s="11"/>
      <c r="AC2" s="11"/>
      <c r="AD2" s="11"/>
    </row>
    <row r="3" spans="1:30" ht="1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5" customHeight="1" x14ac:dyDescent="0.3">
      <c r="A4" s="18" t="s">
        <v>454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5" customHeight="1" x14ac:dyDescent="0.3">
      <c r="A5" s="19" t="s">
        <v>455</v>
      </c>
      <c r="B5" s="73">
        <v>0.5</v>
      </c>
      <c r="C5" s="45" t="s">
        <v>456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15" customHeight="1" x14ac:dyDescent="0.3">
      <c r="A6" s="19" t="s">
        <v>457</v>
      </c>
      <c r="B6" s="28">
        <v>55</v>
      </c>
      <c r="C6" s="45" t="s">
        <v>458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15" customHeight="1" x14ac:dyDescent="0.3">
      <c r="A7" s="19" t="s">
        <v>459</v>
      </c>
      <c r="B7" s="28">
        <v>55</v>
      </c>
      <c r="C7" s="45" t="s">
        <v>460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5" customHeight="1" x14ac:dyDescent="0.3">
      <c r="A8" s="19" t="s">
        <v>461</v>
      </c>
      <c r="B8" s="23">
        <v>0.3</v>
      </c>
      <c r="C8" s="45" t="s">
        <v>462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15" customHeight="1" x14ac:dyDescent="0.3">
      <c r="A9" s="19" t="s">
        <v>463</v>
      </c>
      <c r="B9" s="23">
        <v>0.05</v>
      </c>
      <c r="C9" s="45" t="s">
        <v>464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5" customHeight="1" x14ac:dyDescent="0.3">
      <c r="A10" s="19" t="s">
        <v>465</v>
      </c>
      <c r="B10" s="73">
        <v>0.2</v>
      </c>
      <c r="C10" s="45" t="s">
        <v>466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5" customHeight="1" x14ac:dyDescent="0.3">
      <c r="A11" s="19" t="s">
        <v>467</v>
      </c>
      <c r="B11" s="28">
        <v>35</v>
      </c>
      <c r="C11" s="45" t="s">
        <v>468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5" customHeight="1" x14ac:dyDescent="0.3">
      <c r="A12" s="19" t="s">
        <v>469</v>
      </c>
      <c r="B12" s="28">
        <v>35</v>
      </c>
      <c r="C12" s="45" t="s">
        <v>470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5" customHeight="1" x14ac:dyDescent="0.3">
      <c r="A13" s="19" t="s">
        <v>471</v>
      </c>
      <c r="B13" s="23">
        <v>0.35</v>
      </c>
      <c r="C13" s="45" t="s">
        <v>472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ht="1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ht="1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t="15" customHeight="1" x14ac:dyDescent="0.3">
      <c r="A16" s="32" t="s">
        <v>72</v>
      </c>
      <c r="B16" s="32" t="s">
        <v>306</v>
      </c>
      <c r="C16" s="32" t="s">
        <v>73</v>
      </c>
      <c r="D16" s="32" t="s">
        <v>473</v>
      </c>
      <c r="E16" s="32" t="s">
        <v>75</v>
      </c>
      <c r="F16" s="32" t="s">
        <v>76</v>
      </c>
      <c r="G16" s="32" t="s">
        <v>474</v>
      </c>
      <c r="H16" s="32" t="s">
        <v>475</v>
      </c>
      <c r="I16" s="32" t="s">
        <v>79</v>
      </c>
      <c r="J16" s="32" t="s">
        <v>93</v>
      </c>
      <c r="K16" s="32" t="s">
        <v>199</v>
      </c>
      <c r="L16" s="32" t="s">
        <v>198</v>
      </c>
      <c r="M16" s="32" t="s">
        <v>82</v>
      </c>
      <c r="N16" s="32" t="s">
        <v>83</v>
      </c>
      <c r="O16" s="32" t="s">
        <v>200</v>
      </c>
      <c r="P16" s="32" t="s">
        <v>201</v>
      </c>
      <c r="Q16" s="32" t="s">
        <v>202</v>
      </c>
      <c r="R16" s="32" t="s">
        <v>203</v>
      </c>
      <c r="S16" s="32" t="s">
        <v>204</v>
      </c>
      <c r="T16" s="32" t="s">
        <v>223</v>
      </c>
      <c r="U16" s="32" t="s">
        <v>224</v>
      </c>
      <c r="V16" s="32" t="s">
        <v>225</v>
      </c>
      <c r="W16" s="32" t="s">
        <v>249</v>
      </c>
      <c r="X16" s="32" t="s">
        <v>250</v>
      </c>
      <c r="Y16" s="32" t="s">
        <v>251</v>
      </c>
      <c r="Z16" s="32" t="s">
        <v>476</v>
      </c>
      <c r="AA16" s="32" t="s">
        <v>477</v>
      </c>
      <c r="AB16" s="32" t="s">
        <v>408</v>
      </c>
      <c r="AC16" s="11"/>
      <c r="AD16" s="11"/>
    </row>
    <row r="17" spans="1:30" ht="15" customHeight="1" x14ac:dyDescent="0.3">
      <c r="A17" s="13" t="s">
        <v>109</v>
      </c>
      <c r="B17" s="13" t="s">
        <v>478</v>
      </c>
      <c r="C17" s="13" t="s">
        <v>479</v>
      </c>
      <c r="D17" s="13" t="s">
        <v>480</v>
      </c>
      <c r="E17" s="14" t="str">
        <f ca="1">IFERROR(ycps("SPY","price"),"")</f>
        <v/>
      </c>
      <c r="F17" s="14" t="str">
        <f ca="1">IFERROR(ycps("SPY","one_year_return"),"")</f>
        <v/>
      </c>
      <c r="G17" s="14" t="str">
        <f ca="1">IFERROR(ycps("SPY","three_year_annualized_return"),"")</f>
        <v/>
      </c>
      <c r="H17" s="14" t="str">
        <f ca="1">IFERROR(ycps("SPY","five_year_annualized_return"),"")</f>
        <v/>
      </c>
      <c r="I17" s="14" t="str">
        <f ca="1">IFERROR(ycps("SPY","one_year_volatility"),"")</f>
        <v/>
      </c>
      <c r="J17" s="42">
        <f ca="1">IFERROR(IF(I17=0,0,(F17-'Data Input'!$B$4)/I17),0)</f>
        <v>0</v>
      </c>
      <c r="K17" s="14" t="str">
        <f ca="1">IFERROR(ycps("SPY","max_drawdown_3_year"),"")</f>
        <v/>
      </c>
      <c r="L17" s="14" t="str">
        <f ca="1">IFERROR(ycps("SPY","beta_5_year"),"")</f>
        <v/>
      </c>
      <c r="M17" s="14" t="str">
        <f ca="1">IFERROR(ycps("SPY","dividend_yield"),"")</f>
        <v/>
      </c>
      <c r="N17" s="14" t="str">
        <f ca="1">IFERROR(ycps("SPY","forward_pe_ratio"),"")</f>
        <v/>
      </c>
      <c r="O17" s="14" t="str">
        <f ca="1">IFERROR(ycps("SPY","one_month_return"),"")</f>
        <v/>
      </c>
      <c r="P17" s="14" t="str">
        <f ca="1">IFERROR(ycps("SPY","three_month_return"),"")</f>
        <v/>
      </c>
      <c r="Q17" s="14" t="str">
        <f ca="1">IFERROR(ycps("SPY","six_month_return"),"")</f>
        <v/>
      </c>
      <c r="R17" s="14" t="str">
        <f ca="1">IFERROR(ycps("SPY","one_year_return"),"")</f>
        <v/>
      </c>
      <c r="S17" s="43">
        <f t="shared" ref="S17:S48" ca="1" si="0">IFERROR(MIN(100,MAX(0,ROUND(50+(O17*0.4+P17*0.3+Q17*0.2+R17*0.1)*200,0))),0)</f>
        <v>0</v>
      </c>
      <c r="T17" s="43">
        <f t="shared" ref="T17:T48" ca="1" si="1">IFERROR(MIN(100,MAX(0,ROUND(50+R17*150+IF(F17&gt;0,15,0)+IF(L17&gt;0,5,-5),0))),0)</f>
        <v>0</v>
      </c>
      <c r="U17" s="43">
        <f t="shared" ref="U17:U48" ca="1" si="2">IFERROR(MIN(100,MAX(0,ROUND(50+O17*200+IF(AND(O17&gt;0,P17&gt;0),10,-5)+IF(I17&lt;0.2,10,-5),0))),0)</f>
        <v>0</v>
      </c>
      <c r="V17" s="43">
        <f t="shared" ref="V17:V48" ca="1" si="3">IFERROR(MIN(100,MAX(0,ROUND(30+IF(I17&gt;0,F17/I17,0)*40+IF(ABS(L17)&lt;0.5,15,0)+IF(F17&gt;0.08,10,0),0))),0)</f>
        <v>0</v>
      </c>
      <c r="W17" s="43">
        <f ca="1">IFERROR(ROUND(T17*'Data Input'!$B$29+U17*'Data Input'!$B$30+V17*'Data Input'!$B$31+S17*'Data Input'!$B$32,0),0)</f>
        <v>0</v>
      </c>
      <c r="X17" s="17" t="str">
        <f t="shared" ref="X17:X48" ca="1" si="4">IFERROR(IF(AND(W17&gt;=70,IF(T17&gt;=60,1,0)+IF(U17&gt;=60,1,0)+IF(V17&gt;=60,1,0)+IF(S17&gt;=60,1,0)&gt;=3),"STRONG BUY",IF(AND(W17&gt;=60,IF(T17&gt;=60,1,0)+IF(U17&gt;=60,1,0)+IF(V17&gt;=60,1,0)+IF(S17&gt;=60,1,0)&gt;=2),"BUY",IF(W17&lt;35,"STRONG SELL",IF(AND(W17&lt;45,IF(T17&gt;=60,1,0)+IF(U17&gt;=60,1,0)+IF(V17&gt;=60,1,0)+IF(S17&gt;=60,1,0)&lt;=1),"SELL","HOLD")))),"")</f>
        <v>STRONG SELL</v>
      </c>
      <c r="Y17" s="17" t="str">
        <f t="shared" ref="Y17:Y48" ca="1" si="5">IFERROR(IF(OR(X17="STRONG BUY",X17="STRONG SELL"),"HIGH",IF(OR(X17="BUY",X17="SELL"),"MEDIUM","NEUTRAL")),"")</f>
        <v>HIGH</v>
      </c>
      <c r="Z17" s="17" t="str">
        <f>IFERROR(IF(COUNTIF('Asset Analysis'!$A$4:$A$27,A17)&gt;0,"YES","NO"),"")</f>
        <v>YES</v>
      </c>
      <c r="AA17" s="17" t="str">
        <f t="shared" ref="AA17:AA48" ca="1" si="6">IFERROR(IF(AND(Z17="NO",W17&gt;=$B$7,J17&gt;=$B$5,S17&gt;=$B$6,I17&lt;=$B$8,F17&gt;=$B$9),"→ ADD TO PORTFOLIO",IF(AND(Z17="YES",OR(J17&lt;=$B$10,S17&lt;=$B$11,W17&lt;=$B$12,K17&lt;=-$B$13)),"→ DELETE FROM PORTFOLIO",IF(AND(Z17="YES",X17="HOLD"),"HOLD — MONITOR",IF(AND(Z17="YES",OR(X17="BUY",X17="STRONG BUY")),"HOLD — STRONG",IF(Z17="NO","NOT QUALIFIED","REVIEW"))))),"")</f>
        <v>→ DELETE FROM PORTFOLIO</v>
      </c>
      <c r="AB17" s="17" t="str">
        <f t="shared" ref="AB17:AB48" ca="1" si="7">IFERROR(IF(AA17="→ ADD TO PORTFOLIO",IF(W17&gt;=70,"P1 — IMMEDIATE",IF(W17&gt;=60,"P2 — THIS WEEK","P3 — NEXT REBALANCE")),IF(AA17="→ DELETE FROM PORTFOLIO","P1 — IMMEDIATE","—")),"")</f>
        <v>P1 — IMMEDIATE</v>
      </c>
      <c r="AC17" s="11"/>
      <c r="AD17" s="11"/>
    </row>
    <row r="18" spans="1:30" ht="15" customHeight="1" x14ac:dyDescent="0.3">
      <c r="A18" s="13" t="s">
        <v>481</v>
      </c>
      <c r="B18" s="13" t="s">
        <v>482</v>
      </c>
      <c r="C18" s="13" t="s">
        <v>479</v>
      </c>
      <c r="D18" s="13" t="s">
        <v>480</v>
      </c>
      <c r="E18" s="14" t="str">
        <f ca="1">IFERROR(ycps("VOO","price"),"")</f>
        <v/>
      </c>
      <c r="F18" s="14" t="str">
        <f ca="1">IFERROR(ycps("VOO","one_year_return"),"")</f>
        <v/>
      </c>
      <c r="G18" s="14" t="str">
        <f ca="1">IFERROR(ycps("VOO","three_year_annualized_return"),"")</f>
        <v/>
      </c>
      <c r="H18" s="14" t="str">
        <f ca="1">IFERROR(ycps("VOO","five_year_annualized_return"),"")</f>
        <v/>
      </c>
      <c r="I18" s="14" t="str">
        <f ca="1">IFERROR(ycps("VOO","one_year_volatility"),"")</f>
        <v/>
      </c>
      <c r="J18" s="42">
        <f ca="1">IFERROR(IF(I18=0,0,(F18-'Data Input'!$B$4)/I18),0)</f>
        <v>0</v>
      </c>
      <c r="K18" s="14" t="str">
        <f ca="1">IFERROR(ycps("VOO","max_drawdown_3_year"),"")</f>
        <v/>
      </c>
      <c r="L18" s="14" t="str">
        <f ca="1">IFERROR(ycps("VOO","beta_5_year"),"")</f>
        <v/>
      </c>
      <c r="M18" s="14" t="str">
        <f ca="1">IFERROR(ycps("VOO","dividend_yield"),"")</f>
        <v/>
      </c>
      <c r="N18" s="14" t="str">
        <f ca="1">IFERROR(ycps("VOO","forward_pe_ratio"),"")</f>
        <v/>
      </c>
      <c r="O18" s="14" t="str">
        <f ca="1">IFERROR(ycps("VOO","one_month_return"),"")</f>
        <v/>
      </c>
      <c r="P18" s="14" t="str">
        <f ca="1">IFERROR(ycps("VOO","three_month_return"),"")</f>
        <v/>
      </c>
      <c r="Q18" s="14" t="str">
        <f ca="1">IFERROR(ycps("VOO","six_month_return"),"")</f>
        <v/>
      </c>
      <c r="R18" s="14" t="str">
        <f ca="1">IFERROR(ycps("VOO","one_year_return"),"")</f>
        <v/>
      </c>
      <c r="S18" s="43">
        <f t="shared" ca="1" si="0"/>
        <v>0</v>
      </c>
      <c r="T18" s="43">
        <f t="shared" ca="1" si="1"/>
        <v>0</v>
      </c>
      <c r="U18" s="43">
        <f t="shared" ca="1" si="2"/>
        <v>0</v>
      </c>
      <c r="V18" s="43">
        <f t="shared" ca="1" si="3"/>
        <v>0</v>
      </c>
      <c r="W18" s="43">
        <f ca="1">IFERROR(ROUND(T18*'Data Input'!$B$29+U18*'Data Input'!$B$30+V18*'Data Input'!$B$31+S18*'Data Input'!$B$32,0),0)</f>
        <v>0</v>
      </c>
      <c r="X18" s="17" t="str">
        <f t="shared" ca="1" si="4"/>
        <v>STRONG SELL</v>
      </c>
      <c r="Y18" s="17" t="str">
        <f t="shared" ca="1" si="5"/>
        <v>HIGH</v>
      </c>
      <c r="Z18" s="17" t="str">
        <f>IFERROR(IF(COUNTIF('Asset Analysis'!$A$4:$A$27,A18)&gt;0,"YES","NO"),"")</f>
        <v>NO</v>
      </c>
      <c r="AA18" s="17" t="str">
        <f t="shared" ca="1" si="6"/>
        <v>NOT QUALIFIED</v>
      </c>
      <c r="AB18" s="17" t="str">
        <f t="shared" ca="1" si="7"/>
        <v>—</v>
      </c>
      <c r="AC18" s="11"/>
      <c r="AD18" s="11"/>
    </row>
    <row r="19" spans="1:30" ht="15" customHeight="1" x14ac:dyDescent="0.3">
      <c r="A19" s="13" t="s">
        <v>112</v>
      </c>
      <c r="B19" s="13" t="s">
        <v>483</v>
      </c>
      <c r="C19" s="13" t="s">
        <v>479</v>
      </c>
      <c r="D19" s="13" t="s">
        <v>484</v>
      </c>
      <c r="E19" s="14" t="str">
        <f ca="1">IFERROR(ycps("QQQ","price"),"")</f>
        <v/>
      </c>
      <c r="F19" s="14" t="str">
        <f ca="1">IFERROR(ycps("QQQ","one_year_return"),"")</f>
        <v/>
      </c>
      <c r="G19" s="14" t="str">
        <f ca="1">IFERROR(ycps("QQQ","three_year_annualized_return"),"")</f>
        <v/>
      </c>
      <c r="H19" s="14" t="str">
        <f ca="1">IFERROR(ycps("QQQ","five_year_annualized_return"),"")</f>
        <v/>
      </c>
      <c r="I19" s="14" t="str">
        <f ca="1">IFERROR(ycps("QQQ","one_year_volatility"),"")</f>
        <v/>
      </c>
      <c r="J19" s="42">
        <f ca="1">IFERROR(IF(I19=0,0,(F19-'Data Input'!$B$4)/I19),0)</f>
        <v>0</v>
      </c>
      <c r="K19" s="14" t="str">
        <f ca="1">IFERROR(ycps("QQQ","max_drawdown_3_year"),"")</f>
        <v/>
      </c>
      <c r="L19" s="14" t="str">
        <f ca="1">IFERROR(ycps("QQQ","beta_5_year"),"")</f>
        <v/>
      </c>
      <c r="M19" s="14" t="str">
        <f ca="1">IFERROR(ycps("QQQ","dividend_yield"),"")</f>
        <v/>
      </c>
      <c r="N19" s="14" t="str">
        <f ca="1">IFERROR(ycps("QQQ","forward_pe_ratio"),"")</f>
        <v/>
      </c>
      <c r="O19" s="14" t="str">
        <f ca="1">IFERROR(ycps("QQQ","one_month_return"),"")</f>
        <v/>
      </c>
      <c r="P19" s="14" t="str">
        <f ca="1">IFERROR(ycps("QQQ","three_month_return"),"")</f>
        <v/>
      </c>
      <c r="Q19" s="14" t="str">
        <f ca="1">IFERROR(ycps("QQQ","six_month_return"),"")</f>
        <v/>
      </c>
      <c r="R19" s="14" t="str">
        <f ca="1">IFERROR(ycps("QQQ","one_year_return"),"")</f>
        <v/>
      </c>
      <c r="S19" s="43">
        <f t="shared" ca="1" si="0"/>
        <v>0</v>
      </c>
      <c r="T19" s="43">
        <f t="shared" ca="1" si="1"/>
        <v>0</v>
      </c>
      <c r="U19" s="43">
        <f t="shared" ca="1" si="2"/>
        <v>0</v>
      </c>
      <c r="V19" s="43">
        <f t="shared" ca="1" si="3"/>
        <v>0</v>
      </c>
      <c r="W19" s="43">
        <f ca="1">IFERROR(ROUND(T19*'Data Input'!$B$29+U19*'Data Input'!$B$30+V19*'Data Input'!$B$31+S19*'Data Input'!$B$32,0),0)</f>
        <v>0</v>
      </c>
      <c r="X19" s="17" t="str">
        <f t="shared" ca="1" si="4"/>
        <v>STRONG SELL</v>
      </c>
      <c r="Y19" s="17" t="str">
        <f t="shared" ca="1" si="5"/>
        <v>HIGH</v>
      </c>
      <c r="Z19" s="17" t="str">
        <f>IFERROR(IF(COUNTIF('Asset Analysis'!$A$4:$A$27,A19)&gt;0,"YES","NO"),"")</f>
        <v>YES</v>
      </c>
      <c r="AA19" s="17" t="str">
        <f t="shared" ca="1" si="6"/>
        <v>→ DELETE FROM PORTFOLIO</v>
      </c>
      <c r="AB19" s="17" t="str">
        <f t="shared" ca="1" si="7"/>
        <v>P1 — IMMEDIATE</v>
      </c>
      <c r="AC19" s="11"/>
      <c r="AD19" s="11"/>
    </row>
    <row r="20" spans="1:30" ht="15" customHeight="1" x14ac:dyDescent="0.3">
      <c r="A20" s="13" t="s">
        <v>485</v>
      </c>
      <c r="B20" s="13" t="s">
        <v>486</v>
      </c>
      <c r="C20" s="13" t="s">
        <v>479</v>
      </c>
      <c r="D20" s="13" t="s">
        <v>487</v>
      </c>
      <c r="E20" s="14" t="str">
        <f ca="1">IFERROR(ycps("VTI","price"),"")</f>
        <v/>
      </c>
      <c r="F20" s="14" t="str">
        <f ca="1">IFERROR(ycps("VTI","one_year_return"),"")</f>
        <v/>
      </c>
      <c r="G20" s="14" t="str">
        <f ca="1">IFERROR(ycps("VTI","three_year_annualized_return"),"")</f>
        <v/>
      </c>
      <c r="H20" s="14" t="str">
        <f ca="1">IFERROR(ycps("VTI","five_year_annualized_return"),"")</f>
        <v/>
      </c>
      <c r="I20" s="14" t="str">
        <f ca="1">IFERROR(ycps("VTI","one_year_volatility"),"")</f>
        <v/>
      </c>
      <c r="J20" s="42">
        <f ca="1">IFERROR(IF(I20=0,0,(F20-'Data Input'!$B$4)/I20),0)</f>
        <v>0</v>
      </c>
      <c r="K20" s="14" t="str">
        <f ca="1">IFERROR(ycps("VTI","max_drawdown_3_year"),"")</f>
        <v/>
      </c>
      <c r="L20" s="14" t="str">
        <f ca="1">IFERROR(ycps("VTI","beta_5_year"),"")</f>
        <v/>
      </c>
      <c r="M20" s="14" t="str">
        <f ca="1">IFERROR(ycps("VTI","dividend_yield"),"")</f>
        <v/>
      </c>
      <c r="N20" s="14" t="str">
        <f ca="1">IFERROR(ycps("VTI","forward_pe_ratio"),"")</f>
        <v/>
      </c>
      <c r="O20" s="14" t="str">
        <f ca="1">IFERROR(ycps("VTI","one_month_return"),"")</f>
        <v/>
      </c>
      <c r="P20" s="14" t="str">
        <f ca="1">IFERROR(ycps("VTI","three_month_return"),"")</f>
        <v/>
      </c>
      <c r="Q20" s="14" t="str">
        <f ca="1">IFERROR(ycps("VTI","six_month_return"),"")</f>
        <v/>
      </c>
      <c r="R20" s="14" t="str">
        <f ca="1">IFERROR(ycps("VTI","one_year_return"),"")</f>
        <v/>
      </c>
      <c r="S20" s="43">
        <f t="shared" ca="1" si="0"/>
        <v>0</v>
      </c>
      <c r="T20" s="43">
        <f t="shared" ca="1" si="1"/>
        <v>0</v>
      </c>
      <c r="U20" s="43">
        <f t="shared" ca="1" si="2"/>
        <v>0</v>
      </c>
      <c r="V20" s="43">
        <f t="shared" ca="1" si="3"/>
        <v>0</v>
      </c>
      <c r="W20" s="43">
        <f ca="1">IFERROR(ROUND(T20*'Data Input'!$B$29+U20*'Data Input'!$B$30+V20*'Data Input'!$B$31+S20*'Data Input'!$B$32,0),0)</f>
        <v>0</v>
      </c>
      <c r="X20" s="17" t="str">
        <f t="shared" ca="1" si="4"/>
        <v>STRONG SELL</v>
      </c>
      <c r="Y20" s="17" t="str">
        <f t="shared" ca="1" si="5"/>
        <v>HIGH</v>
      </c>
      <c r="Z20" s="17" t="str">
        <f>IFERROR(IF(COUNTIF('Asset Analysis'!$A$4:$A$27,A20)&gt;0,"YES","NO"),"")</f>
        <v>NO</v>
      </c>
      <c r="AA20" s="17" t="str">
        <f t="shared" ca="1" si="6"/>
        <v>NOT QUALIFIED</v>
      </c>
      <c r="AB20" s="17" t="str">
        <f t="shared" ca="1" si="7"/>
        <v>—</v>
      </c>
      <c r="AC20" s="11"/>
      <c r="AD20" s="11"/>
    </row>
    <row r="21" spans="1:30" ht="15" customHeight="1" x14ac:dyDescent="0.3">
      <c r="A21" s="13" t="s">
        <v>488</v>
      </c>
      <c r="B21" s="13" t="s">
        <v>489</v>
      </c>
      <c r="C21" s="13" t="s">
        <v>479</v>
      </c>
      <c r="D21" s="13" t="s">
        <v>480</v>
      </c>
      <c r="E21" s="14" t="str">
        <f ca="1">IFERROR(ycps("IVV","price"),"")</f>
        <v/>
      </c>
      <c r="F21" s="14" t="str">
        <f ca="1">IFERROR(ycps("IVV","one_year_return"),"")</f>
        <v/>
      </c>
      <c r="G21" s="14" t="str">
        <f ca="1">IFERROR(ycps("IVV","three_year_annualized_return"),"")</f>
        <v/>
      </c>
      <c r="H21" s="14" t="str">
        <f ca="1">IFERROR(ycps("IVV","five_year_annualized_return"),"")</f>
        <v/>
      </c>
      <c r="I21" s="14" t="str">
        <f ca="1">IFERROR(ycps("IVV","one_year_volatility"),"")</f>
        <v/>
      </c>
      <c r="J21" s="42">
        <f ca="1">IFERROR(IF(I21=0,0,(F21-'Data Input'!$B$4)/I21),0)</f>
        <v>0</v>
      </c>
      <c r="K21" s="14" t="str">
        <f ca="1">IFERROR(ycps("IVV","max_drawdown_3_year"),"")</f>
        <v/>
      </c>
      <c r="L21" s="14" t="str">
        <f ca="1">IFERROR(ycps("IVV","beta_5_year"),"")</f>
        <v/>
      </c>
      <c r="M21" s="14" t="str">
        <f ca="1">IFERROR(ycps("IVV","dividend_yield"),"")</f>
        <v/>
      </c>
      <c r="N21" s="14" t="str">
        <f ca="1">IFERROR(ycps("IVV","forward_pe_ratio"),"")</f>
        <v/>
      </c>
      <c r="O21" s="14" t="str">
        <f ca="1">IFERROR(ycps("IVV","one_month_return"),"")</f>
        <v/>
      </c>
      <c r="P21" s="14" t="str">
        <f ca="1">IFERROR(ycps("IVV","three_month_return"),"")</f>
        <v/>
      </c>
      <c r="Q21" s="14" t="str">
        <f ca="1">IFERROR(ycps("IVV","six_month_return"),"")</f>
        <v/>
      </c>
      <c r="R21" s="14" t="str">
        <f ca="1">IFERROR(ycps("IVV","one_year_return"),"")</f>
        <v/>
      </c>
      <c r="S21" s="43">
        <f t="shared" ca="1" si="0"/>
        <v>0</v>
      </c>
      <c r="T21" s="43">
        <f t="shared" ca="1" si="1"/>
        <v>0</v>
      </c>
      <c r="U21" s="43">
        <f t="shared" ca="1" si="2"/>
        <v>0</v>
      </c>
      <c r="V21" s="43">
        <f t="shared" ca="1" si="3"/>
        <v>0</v>
      </c>
      <c r="W21" s="43">
        <f ca="1">IFERROR(ROUND(T21*'Data Input'!$B$29+U21*'Data Input'!$B$30+V21*'Data Input'!$B$31+S21*'Data Input'!$B$32,0),0)</f>
        <v>0</v>
      </c>
      <c r="X21" s="17" t="str">
        <f t="shared" ca="1" si="4"/>
        <v>STRONG SELL</v>
      </c>
      <c r="Y21" s="17" t="str">
        <f t="shared" ca="1" si="5"/>
        <v>HIGH</v>
      </c>
      <c r="Z21" s="17" t="str">
        <f>IFERROR(IF(COUNTIF('Asset Analysis'!$A$4:$A$27,A21)&gt;0,"YES","NO"),"")</f>
        <v>NO</v>
      </c>
      <c r="AA21" s="17" t="str">
        <f t="shared" ca="1" si="6"/>
        <v>NOT QUALIFIED</v>
      </c>
      <c r="AB21" s="17" t="str">
        <f t="shared" ca="1" si="7"/>
        <v>—</v>
      </c>
      <c r="AC21" s="11"/>
      <c r="AD21" s="11"/>
    </row>
    <row r="22" spans="1:30" ht="15" customHeight="1" x14ac:dyDescent="0.3">
      <c r="A22" s="13" t="s">
        <v>490</v>
      </c>
      <c r="B22" s="13" t="s">
        <v>491</v>
      </c>
      <c r="C22" s="13" t="s">
        <v>479</v>
      </c>
      <c r="D22" s="13" t="s">
        <v>492</v>
      </c>
      <c r="E22" s="14" t="str">
        <f ca="1">IFERROR(ycps("RSP","price"),"")</f>
        <v/>
      </c>
      <c r="F22" s="14" t="str">
        <f ca="1">IFERROR(ycps("RSP","one_year_return"),"")</f>
        <v/>
      </c>
      <c r="G22" s="14" t="str">
        <f ca="1">IFERROR(ycps("RSP","three_year_annualized_return"),"")</f>
        <v/>
      </c>
      <c r="H22" s="14" t="str">
        <f ca="1">IFERROR(ycps("RSP","five_year_annualized_return"),"")</f>
        <v/>
      </c>
      <c r="I22" s="14" t="str">
        <f ca="1">IFERROR(ycps("RSP","one_year_volatility"),"")</f>
        <v/>
      </c>
      <c r="J22" s="42">
        <f ca="1">IFERROR(IF(I22=0,0,(F22-'Data Input'!$B$4)/I22),0)</f>
        <v>0</v>
      </c>
      <c r="K22" s="14" t="str">
        <f ca="1">IFERROR(ycps("RSP","max_drawdown_3_year"),"")</f>
        <v/>
      </c>
      <c r="L22" s="14" t="str">
        <f ca="1">IFERROR(ycps("RSP","beta_5_year"),"")</f>
        <v/>
      </c>
      <c r="M22" s="14" t="str">
        <f ca="1">IFERROR(ycps("RSP","dividend_yield"),"")</f>
        <v/>
      </c>
      <c r="N22" s="14" t="str">
        <f ca="1">IFERROR(ycps("RSP","forward_pe_ratio"),"")</f>
        <v/>
      </c>
      <c r="O22" s="14" t="str">
        <f ca="1">IFERROR(ycps("RSP","one_month_return"),"")</f>
        <v/>
      </c>
      <c r="P22" s="14" t="str">
        <f ca="1">IFERROR(ycps("RSP","three_month_return"),"")</f>
        <v/>
      </c>
      <c r="Q22" s="14" t="str">
        <f ca="1">IFERROR(ycps("RSP","six_month_return"),"")</f>
        <v/>
      </c>
      <c r="R22" s="14" t="str">
        <f ca="1">IFERROR(ycps("RSP","one_year_return"),"")</f>
        <v/>
      </c>
      <c r="S22" s="43">
        <f t="shared" ca="1" si="0"/>
        <v>0</v>
      </c>
      <c r="T22" s="43">
        <f t="shared" ca="1" si="1"/>
        <v>0</v>
      </c>
      <c r="U22" s="43">
        <f t="shared" ca="1" si="2"/>
        <v>0</v>
      </c>
      <c r="V22" s="43">
        <f t="shared" ca="1" si="3"/>
        <v>0</v>
      </c>
      <c r="W22" s="43">
        <f ca="1">IFERROR(ROUND(T22*'Data Input'!$B$29+U22*'Data Input'!$B$30+V22*'Data Input'!$B$31+S22*'Data Input'!$B$32,0),0)</f>
        <v>0</v>
      </c>
      <c r="X22" s="17" t="str">
        <f t="shared" ca="1" si="4"/>
        <v>STRONG SELL</v>
      </c>
      <c r="Y22" s="17" t="str">
        <f t="shared" ca="1" si="5"/>
        <v>HIGH</v>
      </c>
      <c r="Z22" s="17" t="str">
        <f>IFERROR(IF(COUNTIF('Asset Analysis'!$A$4:$A$27,A22)&gt;0,"YES","NO"),"")</f>
        <v>NO</v>
      </c>
      <c r="AA22" s="17" t="str">
        <f t="shared" ca="1" si="6"/>
        <v>NOT QUALIFIED</v>
      </c>
      <c r="AB22" s="17" t="str">
        <f t="shared" ca="1" si="7"/>
        <v>—</v>
      </c>
      <c r="AC22" s="11"/>
      <c r="AD22" s="11"/>
    </row>
    <row r="23" spans="1:30" ht="15" customHeight="1" x14ac:dyDescent="0.3">
      <c r="A23" s="13" t="s">
        <v>493</v>
      </c>
      <c r="B23" s="13" t="s">
        <v>494</v>
      </c>
      <c r="C23" s="13" t="s">
        <v>479</v>
      </c>
      <c r="D23" s="13" t="s">
        <v>495</v>
      </c>
      <c r="E23" s="14" t="str">
        <f ca="1">IFERROR(ycps("SCHD","price"),"")</f>
        <v/>
      </c>
      <c r="F23" s="14" t="str">
        <f ca="1">IFERROR(ycps("SCHD","one_year_return"),"")</f>
        <v/>
      </c>
      <c r="G23" s="14" t="str">
        <f ca="1">IFERROR(ycps("SCHD","three_year_annualized_return"),"")</f>
        <v/>
      </c>
      <c r="H23" s="14" t="str">
        <f ca="1">IFERROR(ycps("SCHD","five_year_annualized_return"),"")</f>
        <v/>
      </c>
      <c r="I23" s="14" t="str">
        <f ca="1">IFERROR(ycps("SCHD","one_year_volatility"),"")</f>
        <v/>
      </c>
      <c r="J23" s="42">
        <f ca="1">IFERROR(IF(I23=0,0,(F23-'Data Input'!$B$4)/I23),0)</f>
        <v>0</v>
      </c>
      <c r="K23" s="14" t="str">
        <f ca="1">IFERROR(ycps("SCHD","max_drawdown_3_year"),"")</f>
        <v/>
      </c>
      <c r="L23" s="14" t="str">
        <f ca="1">IFERROR(ycps("SCHD","beta_5_year"),"")</f>
        <v/>
      </c>
      <c r="M23" s="14" t="str">
        <f ca="1">IFERROR(ycps("SCHD","dividend_yield"),"")</f>
        <v/>
      </c>
      <c r="N23" s="14" t="str">
        <f ca="1">IFERROR(ycps("SCHD","forward_pe_ratio"),"")</f>
        <v/>
      </c>
      <c r="O23" s="14" t="str">
        <f ca="1">IFERROR(ycps("SCHD","one_month_return"),"")</f>
        <v/>
      </c>
      <c r="P23" s="14" t="str">
        <f ca="1">IFERROR(ycps("SCHD","three_month_return"),"")</f>
        <v/>
      </c>
      <c r="Q23" s="14" t="str">
        <f ca="1">IFERROR(ycps("SCHD","six_month_return"),"")</f>
        <v/>
      </c>
      <c r="R23" s="14" t="str">
        <f ca="1">IFERROR(ycps("SCHD","one_year_return"),"")</f>
        <v/>
      </c>
      <c r="S23" s="43">
        <f t="shared" ca="1" si="0"/>
        <v>0</v>
      </c>
      <c r="T23" s="43">
        <f t="shared" ca="1" si="1"/>
        <v>0</v>
      </c>
      <c r="U23" s="43">
        <f t="shared" ca="1" si="2"/>
        <v>0</v>
      </c>
      <c r="V23" s="43">
        <f t="shared" ca="1" si="3"/>
        <v>0</v>
      </c>
      <c r="W23" s="43">
        <f ca="1">IFERROR(ROUND(T23*'Data Input'!$B$29+U23*'Data Input'!$B$30+V23*'Data Input'!$B$31+S23*'Data Input'!$B$32,0),0)</f>
        <v>0</v>
      </c>
      <c r="X23" s="17" t="str">
        <f t="shared" ca="1" si="4"/>
        <v>STRONG SELL</v>
      </c>
      <c r="Y23" s="17" t="str">
        <f t="shared" ca="1" si="5"/>
        <v>HIGH</v>
      </c>
      <c r="Z23" s="17" t="str">
        <f>IFERROR(IF(COUNTIF('Asset Analysis'!$A$4:$A$27,A23)&gt;0,"YES","NO"),"")</f>
        <v>NO</v>
      </c>
      <c r="AA23" s="17" t="str">
        <f t="shared" ca="1" si="6"/>
        <v>NOT QUALIFIED</v>
      </c>
      <c r="AB23" s="17" t="str">
        <f t="shared" ca="1" si="7"/>
        <v>—</v>
      </c>
      <c r="AC23" s="11"/>
      <c r="AD23" s="11"/>
    </row>
    <row r="24" spans="1:30" ht="15" customHeight="1" x14ac:dyDescent="0.3">
      <c r="A24" s="13" t="s">
        <v>496</v>
      </c>
      <c r="B24" s="13" t="s">
        <v>497</v>
      </c>
      <c r="C24" s="13" t="s">
        <v>479</v>
      </c>
      <c r="D24" s="13" t="s">
        <v>495</v>
      </c>
      <c r="E24" s="14" t="str">
        <f ca="1">IFERROR(ycps("VIG","price"),"")</f>
        <v/>
      </c>
      <c r="F24" s="14" t="str">
        <f ca="1">IFERROR(ycps("VIG","one_year_return"),"")</f>
        <v/>
      </c>
      <c r="G24" s="14" t="str">
        <f ca="1">IFERROR(ycps("VIG","three_year_annualized_return"),"")</f>
        <v/>
      </c>
      <c r="H24" s="14" t="str">
        <f ca="1">IFERROR(ycps("VIG","five_year_annualized_return"),"")</f>
        <v/>
      </c>
      <c r="I24" s="14" t="str">
        <f ca="1">IFERROR(ycps("VIG","one_year_volatility"),"")</f>
        <v/>
      </c>
      <c r="J24" s="42">
        <f ca="1">IFERROR(IF(I24=0,0,(F24-'Data Input'!$B$4)/I24),0)</f>
        <v>0</v>
      </c>
      <c r="K24" s="14" t="str">
        <f ca="1">IFERROR(ycps("VIG","max_drawdown_3_year"),"")</f>
        <v/>
      </c>
      <c r="L24" s="14" t="str">
        <f ca="1">IFERROR(ycps("VIG","beta_5_year"),"")</f>
        <v/>
      </c>
      <c r="M24" s="14" t="str">
        <f ca="1">IFERROR(ycps("VIG","dividend_yield"),"")</f>
        <v/>
      </c>
      <c r="N24" s="14" t="str">
        <f ca="1">IFERROR(ycps("VIG","forward_pe_ratio"),"")</f>
        <v/>
      </c>
      <c r="O24" s="14" t="str">
        <f ca="1">IFERROR(ycps("VIG","one_month_return"),"")</f>
        <v/>
      </c>
      <c r="P24" s="14" t="str">
        <f ca="1">IFERROR(ycps("VIG","three_month_return"),"")</f>
        <v/>
      </c>
      <c r="Q24" s="14" t="str">
        <f ca="1">IFERROR(ycps("VIG","six_month_return"),"")</f>
        <v/>
      </c>
      <c r="R24" s="14" t="str">
        <f ca="1">IFERROR(ycps("VIG","one_year_return"),"")</f>
        <v/>
      </c>
      <c r="S24" s="43">
        <f t="shared" ca="1" si="0"/>
        <v>0</v>
      </c>
      <c r="T24" s="43">
        <f t="shared" ca="1" si="1"/>
        <v>0</v>
      </c>
      <c r="U24" s="43">
        <f t="shared" ca="1" si="2"/>
        <v>0</v>
      </c>
      <c r="V24" s="43">
        <f t="shared" ca="1" si="3"/>
        <v>0</v>
      </c>
      <c r="W24" s="43">
        <f ca="1">IFERROR(ROUND(T24*'Data Input'!$B$29+U24*'Data Input'!$B$30+V24*'Data Input'!$B$31+S24*'Data Input'!$B$32,0),0)</f>
        <v>0</v>
      </c>
      <c r="X24" s="17" t="str">
        <f t="shared" ca="1" si="4"/>
        <v>STRONG SELL</v>
      </c>
      <c r="Y24" s="17" t="str">
        <f t="shared" ca="1" si="5"/>
        <v>HIGH</v>
      </c>
      <c r="Z24" s="17" t="str">
        <f>IFERROR(IF(COUNTIF('Asset Analysis'!$A$4:$A$27,A24)&gt;0,"YES","NO"),"")</f>
        <v>NO</v>
      </c>
      <c r="AA24" s="17" t="str">
        <f t="shared" ca="1" si="6"/>
        <v>NOT QUALIFIED</v>
      </c>
      <c r="AB24" s="17" t="str">
        <f t="shared" ca="1" si="7"/>
        <v>—</v>
      </c>
      <c r="AC24" s="11"/>
      <c r="AD24" s="11"/>
    </row>
    <row r="25" spans="1:30" ht="15" customHeight="1" x14ac:dyDescent="0.3">
      <c r="A25" s="13" t="s">
        <v>498</v>
      </c>
      <c r="B25" s="13" t="s">
        <v>499</v>
      </c>
      <c r="C25" s="13" t="s">
        <v>479</v>
      </c>
      <c r="D25" s="13" t="s">
        <v>495</v>
      </c>
      <c r="E25" s="14" t="str">
        <f ca="1">IFERROR(ycps("DGRO","price"),"")</f>
        <v/>
      </c>
      <c r="F25" s="14" t="str">
        <f ca="1">IFERROR(ycps("DGRO","one_year_return"),"")</f>
        <v/>
      </c>
      <c r="G25" s="14" t="str">
        <f ca="1">IFERROR(ycps("DGRO","three_year_annualized_return"),"")</f>
        <v/>
      </c>
      <c r="H25" s="14" t="str">
        <f ca="1">IFERROR(ycps("DGRO","five_year_annualized_return"),"")</f>
        <v/>
      </c>
      <c r="I25" s="14" t="str">
        <f ca="1">IFERROR(ycps("DGRO","one_year_volatility"),"")</f>
        <v/>
      </c>
      <c r="J25" s="42">
        <f ca="1">IFERROR(IF(I25=0,0,(F25-'Data Input'!$B$4)/I25),0)</f>
        <v>0</v>
      </c>
      <c r="K25" s="14" t="str">
        <f ca="1">IFERROR(ycps("DGRO","max_drawdown_3_year"),"")</f>
        <v/>
      </c>
      <c r="L25" s="14" t="str">
        <f ca="1">IFERROR(ycps("DGRO","beta_5_year"),"")</f>
        <v/>
      </c>
      <c r="M25" s="14" t="str">
        <f ca="1">IFERROR(ycps("DGRO","dividend_yield"),"")</f>
        <v/>
      </c>
      <c r="N25" s="14" t="str">
        <f ca="1">IFERROR(ycps("DGRO","forward_pe_ratio"),"")</f>
        <v/>
      </c>
      <c r="O25" s="14" t="str">
        <f ca="1">IFERROR(ycps("DGRO","one_month_return"),"")</f>
        <v/>
      </c>
      <c r="P25" s="14" t="str">
        <f ca="1">IFERROR(ycps("DGRO","three_month_return"),"")</f>
        <v/>
      </c>
      <c r="Q25" s="14" t="str">
        <f ca="1">IFERROR(ycps("DGRO","six_month_return"),"")</f>
        <v/>
      </c>
      <c r="R25" s="14" t="str">
        <f ca="1">IFERROR(ycps("DGRO","one_year_return"),"")</f>
        <v/>
      </c>
      <c r="S25" s="43">
        <f t="shared" ca="1" si="0"/>
        <v>0</v>
      </c>
      <c r="T25" s="43">
        <f t="shared" ca="1" si="1"/>
        <v>0</v>
      </c>
      <c r="U25" s="43">
        <f t="shared" ca="1" si="2"/>
        <v>0</v>
      </c>
      <c r="V25" s="43">
        <f t="shared" ca="1" si="3"/>
        <v>0</v>
      </c>
      <c r="W25" s="43">
        <f ca="1">IFERROR(ROUND(T25*'Data Input'!$B$29+U25*'Data Input'!$B$30+V25*'Data Input'!$B$31+S25*'Data Input'!$B$32,0),0)</f>
        <v>0</v>
      </c>
      <c r="X25" s="17" t="str">
        <f t="shared" ca="1" si="4"/>
        <v>STRONG SELL</v>
      </c>
      <c r="Y25" s="17" t="str">
        <f t="shared" ca="1" si="5"/>
        <v>HIGH</v>
      </c>
      <c r="Z25" s="17" t="str">
        <f>IFERROR(IF(COUNTIF('Asset Analysis'!$A$4:$A$27,A25)&gt;0,"YES","NO"),"")</f>
        <v>NO</v>
      </c>
      <c r="AA25" s="17" t="str">
        <f t="shared" ca="1" si="6"/>
        <v>NOT QUALIFIED</v>
      </c>
      <c r="AB25" s="17" t="str">
        <f t="shared" ca="1" si="7"/>
        <v>—</v>
      </c>
      <c r="AC25" s="11"/>
      <c r="AD25" s="11"/>
    </row>
    <row r="26" spans="1:30" ht="15" customHeight="1" x14ac:dyDescent="0.3">
      <c r="A26" s="13" t="s">
        <v>500</v>
      </c>
      <c r="B26" s="13" t="s">
        <v>501</v>
      </c>
      <c r="C26" s="13" t="s">
        <v>479</v>
      </c>
      <c r="D26" s="13" t="s">
        <v>502</v>
      </c>
      <c r="E26" s="14" t="str">
        <f ca="1">IFERROR(ycps("DGRW","price"),"")</f>
        <v/>
      </c>
      <c r="F26" s="14" t="str">
        <f ca="1">IFERROR(ycps("DGRW","one_year_return"),"")</f>
        <v/>
      </c>
      <c r="G26" s="14" t="str">
        <f ca="1">IFERROR(ycps("DGRW","three_year_annualized_return"),"")</f>
        <v/>
      </c>
      <c r="H26" s="14" t="str">
        <f ca="1">IFERROR(ycps("DGRW","five_year_annualized_return"),"")</f>
        <v/>
      </c>
      <c r="I26" s="14" t="str">
        <f ca="1">IFERROR(ycps("DGRW","one_year_volatility"),"")</f>
        <v/>
      </c>
      <c r="J26" s="42">
        <f ca="1">IFERROR(IF(I26=0,0,(F26-'Data Input'!$B$4)/I26),0)</f>
        <v>0</v>
      </c>
      <c r="K26" s="14" t="str">
        <f ca="1">IFERROR(ycps("DGRW","max_drawdown_3_year"),"")</f>
        <v/>
      </c>
      <c r="L26" s="14" t="str">
        <f ca="1">IFERROR(ycps("DGRW","beta_5_year"),"")</f>
        <v/>
      </c>
      <c r="M26" s="14" t="str">
        <f ca="1">IFERROR(ycps("DGRW","dividend_yield"),"")</f>
        <v/>
      </c>
      <c r="N26" s="14" t="str">
        <f ca="1">IFERROR(ycps("DGRW","forward_pe_ratio"),"")</f>
        <v/>
      </c>
      <c r="O26" s="14" t="str">
        <f ca="1">IFERROR(ycps("DGRW","one_month_return"),"")</f>
        <v/>
      </c>
      <c r="P26" s="14" t="str">
        <f ca="1">IFERROR(ycps("DGRW","three_month_return"),"")</f>
        <v/>
      </c>
      <c r="Q26" s="14" t="str">
        <f ca="1">IFERROR(ycps("DGRW","six_month_return"),"")</f>
        <v/>
      </c>
      <c r="R26" s="14" t="str">
        <f ca="1">IFERROR(ycps("DGRW","one_year_return"),"")</f>
        <v/>
      </c>
      <c r="S26" s="43">
        <f t="shared" ca="1" si="0"/>
        <v>0</v>
      </c>
      <c r="T26" s="43">
        <f t="shared" ca="1" si="1"/>
        <v>0</v>
      </c>
      <c r="U26" s="43">
        <f t="shared" ca="1" si="2"/>
        <v>0</v>
      </c>
      <c r="V26" s="43">
        <f t="shared" ca="1" si="3"/>
        <v>0</v>
      </c>
      <c r="W26" s="43">
        <f ca="1">IFERROR(ROUND(T26*'Data Input'!$B$29+U26*'Data Input'!$B$30+V26*'Data Input'!$B$31+S26*'Data Input'!$B$32,0),0)</f>
        <v>0</v>
      </c>
      <c r="X26" s="17" t="str">
        <f t="shared" ca="1" si="4"/>
        <v>STRONG SELL</v>
      </c>
      <c r="Y26" s="17" t="str">
        <f t="shared" ca="1" si="5"/>
        <v>HIGH</v>
      </c>
      <c r="Z26" s="17" t="str">
        <f>IFERROR(IF(COUNTIF('Asset Analysis'!$A$4:$A$27,A26)&gt;0,"YES","NO"),"")</f>
        <v>NO</v>
      </c>
      <c r="AA26" s="17" t="str">
        <f t="shared" ca="1" si="6"/>
        <v>NOT QUALIFIED</v>
      </c>
      <c r="AB26" s="17" t="str">
        <f t="shared" ca="1" si="7"/>
        <v>—</v>
      </c>
      <c r="AC26" s="11"/>
      <c r="AD26" s="11"/>
    </row>
    <row r="27" spans="1:30" ht="15" customHeight="1" x14ac:dyDescent="0.3">
      <c r="A27" s="13" t="s">
        <v>125</v>
      </c>
      <c r="B27" s="13" t="s">
        <v>503</v>
      </c>
      <c r="C27" s="13" t="s">
        <v>504</v>
      </c>
      <c r="D27" s="13" t="s">
        <v>505</v>
      </c>
      <c r="E27" s="14" t="str">
        <f ca="1">IFERROR(ycps("XLK","price"),"")</f>
        <v/>
      </c>
      <c r="F27" s="14" t="str">
        <f ca="1">IFERROR(ycps("XLK","one_year_return"),"")</f>
        <v/>
      </c>
      <c r="G27" s="14" t="str">
        <f ca="1">IFERROR(ycps("XLK","three_year_annualized_return"),"")</f>
        <v/>
      </c>
      <c r="H27" s="14" t="str">
        <f ca="1">IFERROR(ycps("XLK","five_year_annualized_return"),"")</f>
        <v/>
      </c>
      <c r="I27" s="14" t="str">
        <f ca="1">IFERROR(ycps("XLK","one_year_volatility"),"")</f>
        <v/>
      </c>
      <c r="J27" s="42">
        <f ca="1">IFERROR(IF(I27=0,0,(F27-'Data Input'!$B$4)/I27),0)</f>
        <v>0</v>
      </c>
      <c r="K27" s="14" t="str">
        <f ca="1">IFERROR(ycps("XLK","max_drawdown_3_year"),"")</f>
        <v/>
      </c>
      <c r="L27" s="14" t="str">
        <f ca="1">IFERROR(ycps("XLK","beta_5_year"),"")</f>
        <v/>
      </c>
      <c r="M27" s="14" t="str">
        <f ca="1">IFERROR(ycps("XLK","dividend_yield"),"")</f>
        <v/>
      </c>
      <c r="N27" s="14" t="str">
        <f ca="1">IFERROR(ycps("XLK","forward_pe_ratio"),"")</f>
        <v/>
      </c>
      <c r="O27" s="14" t="str">
        <f ca="1">IFERROR(ycps("XLK","one_month_return"),"")</f>
        <v/>
      </c>
      <c r="P27" s="14" t="str">
        <f ca="1">IFERROR(ycps("XLK","three_month_return"),"")</f>
        <v/>
      </c>
      <c r="Q27" s="14" t="str">
        <f ca="1">IFERROR(ycps("XLK","six_month_return"),"")</f>
        <v/>
      </c>
      <c r="R27" s="14" t="str">
        <f ca="1">IFERROR(ycps("XLK","one_year_return"),"")</f>
        <v/>
      </c>
      <c r="S27" s="43">
        <f t="shared" ca="1" si="0"/>
        <v>0</v>
      </c>
      <c r="T27" s="43">
        <f t="shared" ca="1" si="1"/>
        <v>0</v>
      </c>
      <c r="U27" s="43">
        <f t="shared" ca="1" si="2"/>
        <v>0</v>
      </c>
      <c r="V27" s="43">
        <f t="shared" ca="1" si="3"/>
        <v>0</v>
      </c>
      <c r="W27" s="43">
        <f ca="1">IFERROR(ROUND(T27*'Data Input'!$B$29+U27*'Data Input'!$B$30+V27*'Data Input'!$B$31+S27*'Data Input'!$B$32,0),0)</f>
        <v>0</v>
      </c>
      <c r="X27" s="17" t="str">
        <f t="shared" ca="1" si="4"/>
        <v>STRONG SELL</v>
      </c>
      <c r="Y27" s="17" t="str">
        <f t="shared" ca="1" si="5"/>
        <v>HIGH</v>
      </c>
      <c r="Z27" s="17" t="str">
        <f>IFERROR(IF(COUNTIF('Asset Analysis'!$A$4:$A$27,A27)&gt;0,"YES","NO"),"")</f>
        <v>YES</v>
      </c>
      <c r="AA27" s="17" t="str">
        <f t="shared" ca="1" si="6"/>
        <v>→ DELETE FROM PORTFOLIO</v>
      </c>
      <c r="AB27" s="17" t="str">
        <f t="shared" ca="1" si="7"/>
        <v>P1 — IMMEDIATE</v>
      </c>
      <c r="AC27" s="11"/>
      <c r="AD27" s="11"/>
    </row>
    <row r="28" spans="1:30" ht="15" customHeight="1" x14ac:dyDescent="0.3">
      <c r="A28" s="13" t="s">
        <v>126</v>
      </c>
      <c r="B28" s="13" t="s">
        <v>506</v>
      </c>
      <c r="C28" s="13" t="s">
        <v>504</v>
      </c>
      <c r="D28" s="13" t="s">
        <v>507</v>
      </c>
      <c r="E28" s="14" t="str">
        <f ca="1">IFERROR(ycps("XLV","price"),"")</f>
        <v/>
      </c>
      <c r="F28" s="14" t="str">
        <f ca="1">IFERROR(ycps("XLV","one_year_return"),"")</f>
        <v/>
      </c>
      <c r="G28" s="14" t="str">
        <f ca="1">IFERROR(ycps("XLV","three_year_annualized_return"),"")</f>
        <v/>
      </c>
      <c r="H28" s="14" t="str">
        <f ca="1">IFERROR(ycps("XLV","five_year_annualized_return"),"")</f>
        <v/>
      </c>
      <c r="I28" s="14" t="str">
        <f ca="1">IFERROR(ycps("XLV","one_year_volatility"),"")</f>
        <v/>
      </c>
      <c r="J28" s="42">
        <f ca="1">IFERROR(IF(I28=0,0,(F28-'Data Input'!$B$4)/I28),0)</f>
        <v>0</v>
      </c>
      <c r="K28" s="14" t="str">
        <f ca="1">IFERROR(ycps("XLV","max_drawdown_3_year"),"")</f>
        <v/>
      </c>
      <c r="L28" s="14" t="str">
        <f ca="1">IFERROR(ycps("XLV","beta_5_year"),"")</f>
        <v/>
      </c>
      <c r="M28" s="14" t="str">
        <f ca="1">IFERROR(ycps("XLV","dividend_yield"),"")</f>
        <v/>
      </c>
      <c r="N28" s="14" t="str">
        <f ca="1">IFERROR(ycps("XLV","forward_pe_ratio"),"")</f>
        <v/>
      </c>
      <c r="O28" s="14" t="str">
        <f ca="1">IFERROR(ycps("XLV","one_month_return"),"")</f>
        <v/>
      </c>
      <c r="P28" s="14" t="str">
        <f ca="1">IFERROR(ycps("XLV","three_month_return"),"")</f>
        <v/>
      </c>
      <c r="Q28" s="14" t="str">
        <f ca="1">IFERROR(ycps("XLV","six_month_return"),"")</f>
        <v/>
      </c>
      <c r="R28" s="14" t="str">
        <f ca="1">IFERROR(ycps("XLV","one_year_return"),"")</f>
        <v/>
      </c>
      <c r="S28" s="43">
        <f t="shared" ca="1" si="0"/>
        <v>0</v>
      </c>
      <c r="T28" s="43">
        <f t="shared" ca="1" si="1"/>
        <v>0</v>
      </c>
      <c r="U28" s="43">
        <f t="shared" ca="1" si="2"/>
        <v>0</v>
      </c>
      <c r="V28" s="43">
        <f t="shared" ca="1" si="3"/>
        <v>0</v>
      </c>
      <c r="W28" s="43">
        <f ca="1">IFERROR(ROUND(T28*'Data Input'!$B$29+U28*'Data Input'!$B$30+V28*'Data Input'!$B$31+S28*'Data Input'!$B$32,0),0)</f>
        <v>0</v>
      </c>
      <c r="X28" s="17" t="str">
        <f t="shared" ca="1" si="4"/>
        <v>STRONG SELL</v>
      </c>
      <c r="Y28" s="17" t="str">
        <f t="shared" ca="1" si="5"/>
        <v>HIGH</v>
      </c>
      <c r="Z28" s="17" t="str">
        <f>IFERROR(IF(COUNTIF('Asset Analysis'!$A$4:$A$27,A28)&gt;0,"YES","NO"),"")</f>
        <v>YES</v>
      </c>
      <c r="AA28" s="17" t="str">
        <f t="shared" ca="1" si="6"/>
        <v>→ DELETE FROM PORTFOLIO</v>
      </c>
      <c r="AB28" s="17" t="str">
        <f t="shared" ca="1" si="7"/>
        <v>P1 — IMMEDIATE</v>
      </c>
      <c r="AC28" s="11"/>
      <c r="AD28" s="11"/>
    </row>
    <row r="29" spans="1:30" ht="15" customHeight="1" x14ac:dyDescent="0.3">
      <c r="A29" s="13" t="s">
        <v>127</v>
      </c>
      <c r="B29" s="13" t="s">
        <v>508</v>
      </c>
      <c r="C29" s="13" t="s">
        <v>504</v>
      </c>
      <c r="D29" s="13" t="s">
        <v>509</v>
      </c>
      <c r="E29" s="14" t="str">
        <f ca="1">IFERROR(ycps("XLE","price"),"")</f>
        <v/>
      </c>
      <c r="F29" s="14" t="str">
        <f ca="1">IFERROR(ycps("XLE","one_year_return"),"")</f>
        <v/>
      </c>
      <c r="G29" s="14" t="str">
        <f ca="1">IFERROR(ycps("XLE","three_year_annualized_return"),"")</f>
        <v/>
      </c>
      <c r="H29" s="14" t="str">
        <f ca="1">IFERROR(ycps("XLE","five_year_annualized_return"),"")</f>
        <v/>
      </c>
      <c r="I29" s="14" t="str">
        <f ca="1">IFERROR(ycps("XLE","one_year_volatility"),"")</f>
        <v/>
      </c>
      <c r="J29" s="42">
        <f ca="1">IFERROR(IF(I29=0,0,(F29-'Data Input'!$B$4)/I29),0)</f>
        <v>0</v>
      </c>
      <c r="K29" s="14" t="str">
        <f ca="1">IFERROR(ycps("XLE","max_drawdown_3_year"),"")</f>
        <v/>
      </c>
      <c r="L29" s="14" t="str">
        <f ca="1">IFERROR(ycps("XLE","beta_5_year"),"")</f>
        <v/>
      </c>
      <c r="M29" s="14" t="str">
        <f ca="1">IFERROR(ycps("XLE","dividend_yield"),"")</f>
        <v/>
      </c>
      <c r="N29" s="14" t="str">
        <f ca="1">IFERROR(ycps("XLE","forward_pe_ratio"),"")</f>
        <v/>
      </c>
      <c r="O29" s="14" t="str">
        <f ca="1">IFERROR(ycps("XLE","one_month_return"),"")</f>
        <v/>
      </c>
      <c r="P29" s="14" t="str">
        <f ca="1">IFERROR(ycps("XLE","three_month_return"),"")</f>
        <v/>
      </c>
      <c r="Q29" s="14" t="str">
        <f ca="1">IFERROR(ycps("XLE","six_month_return"),"")</f>
        <v/>
      </c>
      <c r="R29" s="14" t="str">
        <f ca="1">IFERROR(ycps("XLE","one_year_return"),"")</f>
        <v/>
      </c>
      <c r="S29" s="43">
        <f t="shared" ca="1" si="0"/>
        <v>0</v>
      </c>
      <c r="T29" s="43">
        <f t="shared" ca="1" si="1"/>
        <v>0</v>
      </c>
      <c r="U29" s="43">
        <f t="shared" ca="1" si="2"/>
        <v>0</v>
      </c>
      <c r="V29" s="43">
        <f t="shared" ca="1" si="3"/>
        <v>0</v>
      </c>
      <c r="W29" s="43">
        <f ca="1">IFERROR(ROUND(T29*'Data Input'!$B$29+U29*'Data Input'!$B$30+V29*'Data Input'!$B$31+S29*'Data Input'!$B$32,0),0)</f>
        <v>0</v>
      </c>
      <c r="X29" s="17" t="str">
        <f t="shared" ca="1" si="4"/>
        <v>STRONG SELL</v>
      </c>
      <c r="Y29" s="17" t="str">
        <f t="shared" ca="1" si="5"/>
        <v>HIGH</v>
      </c>
      <c r="Z29" s="17" t="str">
        <f>IFERROR(IF(COUNTIF('Asset Analysis'!$A$4:$A$27,A29)&gt;0,"YES","NO"),"")</f>
        <v>YES</v>
      </c>
      <c r="AA29" s="17" t="str">
        <f t="shared" ca="1" si="6"/>
        <v>→ DELETE FROM PORTFOLIO</v>
      </c>
      <c r="AB29" s="17" t="str">
        <f t="shared" ca="1" si="7"/>
        <v>P1 — IMMEDIATE</v>
      </c>
      <c r="AC29" s="11"/>
      <c r="AD29" s="11"/>
    </row>
    <row r="30" spans="1:30" ht="15" customHeight="1" x14ac:dyDescent="0.3">
      <c r="A30" s="13" t="s">
        <v>128</v>
      </c>
      <c r="B30" s="13" t="s">
        <v>510</v>
      </c>
      <c r="C30" s="13" t="s">
        <v>504</v>
      </c>
      <c r="D30" s="13" t="s">
        <v>511</v>
      </c>
      <c r="E30" s="14" t="str">
        <f ca="1">IFERROR(ycps("XLF","price"),"")</f>
        <v/>
      </c>
      <c r="F30" s="14" t="str">
        <f ca="1">IFERROR(ycps("XLF","one_year_return"),"")</f>
        <v/>
      </c>
      <c r="G30" s="14" t="str">
        <f ca="1">IFERROR(ycps("XLF","three_year_annualized_return"),"")</f>
        <v/>
      </c>
      <c r="H30" s="14" t="str">
        <f ca="1">IFERROR(ycps("XLF","five_year_annualized_return"),"")</f>
        <v/>
      </c>
      <c r="I30" s="14" t="str">
        <f ca="1">IFERROR(ycps("XLF","one_year_volatility"),"")</f>
        <v/>
      </c>
      <c r="J30" s="42">
        <f ca="1">IFERROR(IF(I30=0,0,(F30-'Data Input'!$B$4)/I30),0)</f>
        <v>0</v>
      </c>
      <c r="K30" s="14" t="str">
        <f ca="1">IFERROR(ycps("XLF","max_drawdown_3_year"),"")</f>
        <v/>
      </c>
      <c r="L30" s="14" t="str">
        <f ca="1">IFERROR(ycps("XLF","beta_5_year"),"")</f>
        <v/>
      </c>
      <c r="M30" s="14" t="str">
        <f ca="1">IFERROR(ycps("XLF","dividend_yield"),"")</f>
        <v/>
      </c>
      <c r="N30" s="14" t="str">
        <f ca="1">IFERROR(ycps("XLF","forward_pe_ratio"),"")</f>
        <v/>
      </c>
      <c r="O30" s="14" t="str">
        <f ca="1">IFERROR(ycps("XLF","one_month_return"),"")</f>
        <v/>
      </c>
      <c r="P30" s="14" t="str">
        <f ca="1">IFERROR(ycps("XLF","three_month_return"),"")</f>
        <v/>
      </c>
      <c r="Q30" s="14" t="str">
        <f ca="1">IFERROR(ycps("XLF","six_month_return"),"")</f>
        <v/>
      </c>
      <c r="R30" s="14" t="str">
        <f ca="1">IFERROR(ycps("XLF","one_year_return"),"")</f>
        <v/>
      </c>
      <c r="S30" s="43">
        <f t="shared" ca="1" si="0"/>
        <v>0</v>
      </c>
      <c r="T30" s="43">
        <f t="shared" ca="1" si="1"/>
        <v>0</v>
      </c>
      <c r="U30" s="43">
        <f t="shared" ca="1" si="2"/>
        <v>0</v>
      </c>
      <c r="V30" s="43">
        <f t="shared" ca="1" si="3"/>
        <v>0</v>
      </c>
      <c r="W30" s="43">
        <f ca="1">IFERROR(ROUND(T30*'Data Input'!$B$29+U30*'Data Input'!$B$30+V30*'Data Input'!$B$31+S30*'Data Input'!$B$32,0),0)</f>
        <v>0</v>
      </c>
      <c r="X30" s="17" t="str">
        <f t="shared" ca="1" si="4"/>
        <v>STRONG SELL</v>
      </c>
      <c r="Y30" s="17" t="str">
        <f t="shared" ca="1" si="5"/>
        <v>HIGH</v>
      </c>
      <c r="Z30" s="17" t="str">
        <f>IFERROR(IF(COUNTIF('Asset Analysis'!$A$4:$A$27,A30)&gt;0,"YES","NO"),"")</f>
        <v>YES</v>
      </c>
      <c r="AA30" s="17" t="str">
        <f t="shared" ca="1" si="6"/>
        <v>→ DELETE FROM PORTFOLIO</v>
      </c>
      <c r="AB30" s="17" t="str">
        <f t="shared" ca="1" si="7"/>
        <v>P1 — IMMEDIATE</v>
      </c>
      <c r="AC30" s="11"/>
      <c r="AD30" s="11"/>
    </row>
    <row r="31" spans="1:30" ht="15" customHeight="1" x14ac:dyDescent="0.3">
      <c r="A31" s="13" t="s">
        <v>512</v>
      </c>
      <c r="B31" s="13" t="s">
        <v>513</v>
      </c>
      <c r="C31" s="13" t="s">
        <v>504</v>
      </c>
      <c r="D31" s="13" t="s">
        <v>514</v>
      </c>
      <c r="E31" s="14" t="str">
        <f ca="1">IFERROR(ycps("XLI","price"),"")</f>
        <v/>
      </c>
      <c r="F31" s="14" t="str">
        <f ca="1">IFERROR(ycps("XLI","one_year_return"),"")</f>
        <v/>
      </c>
      <c r="G31" s="14" t="str">
        <f ca="1">IFERROR(ycps("XLI","three_year_annualized_return"),"")</f>
        <v/>
      </c>
      <c r="H31" s="14" t="str">
        <f ca="1">IFERROR(ycps("XLI","five_year_annualized_return"),"")</f>
        <v/>
      </c>
      <c r="I31" s="14" t="str">
        <f ca="1">IFERROR(ycps("XLI","one_year_volatility"),"")</f>
        <v/>
      </c>
      <c r="J31" s="42">
        <f ca="1">IFERROR(IF(I31=0,0,(F31-'Data Input'!$B$4)/I31),0)</f>
        <v>0</v>
      </c>
      <c r="K31" s="14" t="str">
        <f ca="1">IFERROR(ycps("XLI","max_drawdown_3_year"),"")</f>
        <v/>
      </c>
      <c r="L31" s="14" t="str">
        <f ca="1">IFERROR(ycps("XLI","beta_5_year"),"")</f>
        <v/>
      </c>
      <c r="M31" s="14" t="str">
        <f ca="1">IFERROR(ycps("XLI","dividend_yield"),"")</f>
        <v/>
      </c>
      <c r="N31" s="14" t="str">
        <f ca="1">IFERROR(ycps("XLI","forward_pe_ratio"),"")</f>
        <v/>
      </c>
      <c r="O31" s="14" t="str">
        <f ca="1">IFERROR(ycps("XLI","one_month_return"),"")</f>
        <v/>
      </c>
      <c r="P31" s="14" t="str">
        <f ca="1">IFERROR(ycps("XLI","three_month_return"),"")</f>
        <v/>
      </c>
      <c r="Q31" s="14" t="str">
        <f ca="1">IFERROR(ycps("XLI","six_month_return"),"")</f>
        <v/>
      </c>
      <c r="R31" s="14" t="str">
        <f ca="1">IFERROR(ycps("XLI","one_year_return"),"")</f>
        <v/>
      </c>
      <c r="S31" s="43">
        <f t="shared" ca="1" si="0"/>
        <v>0</v>
      </c>
      <c r="T31" s="43">
        <f t="shared" ca="1" si="1"/>
        <v>0</v>
      </c>
      <c r="U31" s="43">
        <f t="shared" ca="1" si="2"/>
        <v>0</v>
      </c>
      <c r="V31" s="43">
        <f t="shared" ca="1" si="3"/>
        <v>0</v>
      </c>
      <c r="W31" s="43">
        <f ca="1">IFERROR(ROUND(T31*'Data Input'!$B$29+U31*'Data Input'!$B$30+V31*'Data Input'!$B$31+S31*'Data Input'!$B$32,0),0)</f>
        <v>0</v>
      </c>
      <c r="X31" s="17" t="str">
        <f t="shared" ca="1" si="4"/>
        <v>STRONG SELL</v>
      </c>
      <c r="Y31" s="17" t="str">
        <f t="shared" ca="1" si="5"/>
        <v>HIGH</v>
      </c>
      <c r="Z31" s="17" t="str">
        <f>IFERROR(IF(COUNTIF('Asset Analysis'!$A$4:$A$27,A31)&gt;0,"YES","NO"),"")</f>
        <v>NO</v>
      </c>
      <c r="AA31" s="17" t="str">
        <f t="shared" ca="1" si="6"/>
        <v>NOT QUALIFIED</v>
      </c>
      <c r="AB31" s="17" t="str">
        <f t="shared" ca="1" si="7"/>
        <v>—</v>
      </c>
      <c r="AC31" s="11"/>
      <c r="AD31" s="11"/>
    </row>
    <row r="32" spans="1:30" ht="15" customHeight="1" x14ac:dyDescent="0.3">
      <c r="A32" s="13" t="s">
        <v>515</v>
      </c>
      <c r="B32" s="13" t="s">
        <v>516</v>
      </c>
      <c r="C32" s="13" t="s">
        <v>504</v>
      </c>
      <c r="D32" s="13" t="s">
        <v>517</v>
      </c>
      <c r="E32" s="14" t="str">
        <f ca="1">IFERROR(ycps("XLP","price"),"")</f>
        <v/>
      </c>
      <c r="F32" s="14" t="str">
        <f ca="1">IFERROR(ycps("XLP","one_year_return"),"")</f>
        <v/>
      </c>
      <c r="G32" s="14" t="str">
        <f ca="1">IFERROR(ycps("XLP","three_year_annualized_return"),"")</f>
        <v/>
      </c>
      <c r="H32" s="14" t="str">
        <f ca="1">IFERROR(ycps("XLP","five_year_annualized_return"),"")</f>
        <v/>
      </c>
      <c r="I32" s="14" t="str">
        <f ca="1">IFERROR(ycps("XLP","one_year_volatility"),"")</f>
        <v/>
      </c>
      <c r="J32" s="42">
        <f ca="1">IFERROR(IF(I32=0,0,(F32-'Data Input'!$B$4)/I32),0)</f>
        <v>0</v>
      </c>
      <c r="K32" s="14" t="str">
        <f ca="1">IFERROR(ycps("XLP","max_drawdown_3_year"),"")</f>
        <v/>
      </c>
      <c r="L32" s="14" t="str">
        <f ca="1">IFERROR(ycps("XLP","beta_5_year"),"")</f>
        <v/>
      </c>
      <c r="M32" s="14" t="str">
        <f ca="1">IFERROR(ycps("XLP","dividend_yield"),"")</f>
        <v/>
      </c>
      <c r="N32" s="14" t="str">
        <f ca="1">IFERROR(ycps("XLP","forward_pe_ratio"),"")</f>
        <v/>
      </c>
      <c r="O32" s="14" t="str">
        <f ca="1">IFERROR(ycps("XLP","one_month_return"),"")</f>
        <v/>
      </c>
      <c r="P32" s="14" t="str">
        <f ca="1">IFERROR(ycps("XLP","three_month_return"),"")</f>
        <v/>
      </c>
      <c r="Q32" s="14" t="str">
        <f ca="1">IFERROR(ycps("XLP","six_month_return"),"")</f>
        <v/>
      </c>
      <c r="R32" s="14" t="str">
        <f ca="1">IFERROR(ycps("XLP","one_year_return"),"")</f>
        <v/>
      </c>
      <c r="S32" s="43">
        <f t="shared" ca="1" si="0"/>
        <v>0</v>
      </c>
      <c r="T32" s="43">
        <f t="shared" ca="1" si="1"/>
        <v>0</v>
      </c>
      <c r="U32" s="43">
        <f t="shared" ca="1" si="2"/>
        <v>0</v>
      </c>
      <c r="V32" s="43">
        <f t="shared" ca="1" si="3"/>
        <v>0</v>
      </c>
      <c r="W32" s="43">
        <f ca="1">IFERROR(ROUND(T32*'Data Input'!$B$29+U32*'Data Input'!$B$30+V32*'Data Input'!$B$31+S32*'Data Input'!$B$32,0),0)</f>
        <v>0</v>
      </c>
      <c r="X32" s="17" t="str">
        <f t="shared" ca="1" si="4"/>
        <v>STRONG SELL</v>
      </c>
      <c r="Y32" s="17" t="str">
        <f t="shared" ca="1" si="5"/>
        <v>HIGH</v>
      </c>
      <c r="Z32" s="17" t="str">
        <f>IFERROR(IF(COUNTIF('Asset Analysis'!$A$4:$A$27,A32)&gt;0,"YES","NO"),"")</f>
        <v>NO</v>
      </c>
      <c r="AA32" s="17" t="str">
        <f t="shared" ca="1" si="6"/>
        <v>NOT QUALIFIED</v>
      </c>
      <c r="AB32" s="17" t="str">
        <f t="shared" ca="1" si="7"/>
        <v>—</v>
      </c>
      <c r="AC32" s="11"/>
      <c r="AD32" s="11"/>
    </row>
    <row r="33" spans="1:30" ht="15" customHeight="1" x14ac:dyDescent="0.3">
      <c r="A33" s="13" t="s">
        <v>518</v>
      </c>
      <c r="B33" s="13" t="s">
        <v>519</v>
      </c>
      <c r="C33" s="13" t="s">
        <v>504</v>
      </c>
      <c r="D33" s="13" t="s">
        <v>520</v>
      </c>
      <c r="E33" s="14" t="str">
        <f ca="1">IFERROR(ycps("XLU","price"),"")</f>
        <v/>
      </c>
      <c r="F33" s="14" t="str">
        <f ca="1">IFERROR(ycps("XLU","one_year_return"),"")</f>
        <v/>
      </c>
      <c r="G33" s="14" t="str">
        <f ca="1">IFERROR(ycps("XLU","three_year_annualized_return"),"")</f>
        <v/>
      </c>
      <c r="H33" s="14" t="str">
        <f ca="1">IFERROR(ycps("XLU","five_year_annualized_return"),"")</f>
        <v/>
      </c>
      <c r="I33" s="14" t="str">
        <f ca="1">IFERROR(ycps("XLU","one_year_volatility"),"")</f>
        <v/>
      </c>
      <c r="J33" s="42">
        <f ca="1">IFERROR(IF(I33=0,0,(F33-'Data Input'!$B$4)/I33),0)</f>
        <v>0</v>
      </c>
      <c r="K33" s="14" t="str">
        <f ca="1">IFERROR(ycps("XLU","max_drawdown_3_year"),"")</f>
        <v/>
      </c>
      <c r="L33" s="14" t="str">
        <f ca="1">IFERROR(ycps("XLU","beta_5_year"),"")</f>
        <v/>
      </c>
      <c r="M33" s="14" t="str">
        <f ca="1">IFERROR(ycps("XLU","dividend_yield"),"")</f>
        <v/>
      </c>
      <c r="N33" s="14" t="str">
        <f ca="1">IFERROR(ycps("XLU","forward_pe_ratio"),"")</f>
        <v/>
      </c>
      <c r="O33" s="14" t="str">
        <f ca="1">IFERROR(ycps("XLU","one_month_return"),"")</f>
        <v/>
      </c>
      <c r="P33" s="14" t="str">
        <f ca="1">IFERROR(ycps("XLU","three_month_return"),"")</f>
        <v/>
      </c>
      <c r="Q33" s="14" t="str">
        <f ca="1">IFERROR(ycps("XLU","six_month_return"),"")</f>
        <v/>
      </c>
      <c r="R33" s="14" t="str">
        <f ca="1">IFERROR(ycps("XLU","one_year_return"),"")</f>
        <v/>
      </c>
      <c r="S33" s="43">
        <f t="shared" ca="1" si="0"/>
        <v>0</v>
      </c>
      <c r="T33" s="43">
        <f t="shared" ca="1" si="1"/>
        <v>0</v>
      </c>
      <c r="U33" s="43">
        <f t="shared" ca="1" si="2"/>
        <v>0</v>
      </c>
      <c r="V33" s="43">
        <f t="shared" ca="1" si="3"/>
        <v>0</v>
      </c>
      <c r="W33" s="43">
        <f ca="1">IFERROR(ROUND(T33*'Data Input'!$B$29+U33*'Data Input'!$B$30+V33*'Data Input'!$B$31+S33*'Data Input'!$B$32,0),0)</f>
        <v>0</v>
      </c>
      <c r="X33" s="17" t="str">
        <f t="shared" ca="1" si="4"/>
        <v>STRONG SELL</v>
      </c>
      <c r="Y33" s="17" t="str">
        <f t="shared" ca="1" si="5"/>
        <v>HIGH</v>
      </c>
      <c r="Z33" s="17" t="str">
        <f>IFERROR(IF(COUNTIF('Asset Analysis'!$A$4:$A$27,A33)&gt;0,"YES","NO"),"")</f>
        <v>NO</v>
      </c>
      <c r="AA33" s="17" t="str">
        <f t="shared" ca="1" si="6"/>
        <v>NOT QUALIFIED</v>
      </c>
      <c r="AB33" s="17" t="str">
        <f t="shared" ca="1" si="7"/>
        <v>—</v>
      </c>
      <c r="AC33" s="11"/>
      <c r="AD33" s="11"/>
    </row>
    <row r="34" spans="1:30" ht="15" customHeight="1" x14ac:dyDescent="0.3">
      <c r="A34" s="13" t="s">
        <v>521</v>
      </c>
      <c r="B34" s="13" t="s">
        <v>522</v>
      </c>
      <c r="C34" s="13" t="s">
        <v>504</v>
      </c>
      <c r="D34" s="13" t="s">
        <v>523</v>
      </c>
      <c r="E34" s="14" t="str">
        <f ca="1">IFERROR(ycps("XLY","price"),"")</f>
        <v/>
      </c>
      <c r="F34" s="14" t="str">
        <f ca="1">IFERROR(ycps("XLY","one_year_return"),"")</f>
        <v/>
      </c>
      <c r="G34" s="14" t="str">
        <f ca="1">IFERROR(ycps("XLY","three_year_annualized_return"),"")</f>
        <v/>
      </c>
      <c r="H34" s="14" t="str">
        <f ca="1">IFERROR(ycps("XLY","five_year_annualized_return"),"")</f>
        <v/>
      </c>
      <c r="I34" s="14" t="str">
        <f ca="1">IFERROR(ycps("XLY","one_year_volatility"),"")</f>
        <v/>
      </c>
      <c r="J34" s="42">
        <f ca="1">IFERROR(IF(I34=0,0,(F34-'Data Input'!$B$4)/I34),0)</f>
        <v>0</v>
      </c>
      <c r="K34" s="14" t="str">
        <f ca="1">IFERROR(ycps("XLY","max_drawdown_3_year"),"")</f>
        <v/>
      </c>
      <c r="L34" s="14" t="str">
        <f ca="1">IFERROR(ycps("XLY","beta_5_year"),"")</f>
        <v/>
      </c>
      <c r="M34" s="14" t="str">
        <f ca="1">IFERROR(ycps("XLY","dividend_yield"),"")</f>
        <v/>
      </c>
      <c r="N34" s="14" t="str">
        <f ca="1">IFERROR(ycps("XLY","forward_pe_ratio"),"")</f>
        <v/>
      </c>
      <c r="O34" s="14" t="str">
        <f ca="1">IFERROR(ycps("XLY","one_month_return"),"")</f>
        <v/>
      </c>
      <c r="P34" s="14" t="str">
        <f ca="1">IFERROR(ycps("XLY","three_month_return"),"")</f>
        <v/>
      </c>
      <c r="Q34" s="14" t="str">
        <f ca="1">IFERROR(ycps("XLY","six_month_return"),"")</f>
        <v/>
      </c>
      <c r="R34" s="14" t="str">
        <f ca="1">IFERROR(ycps("XLY","one_year_return"),"")</f>
        <v/>
      </c>
      <c r="S34" s="43">
        <f t="shared" ca="1" si="0"/>
        <v>0</v>
      </c>
      <c r="T34" s="43">
        <f t="shared" ca="1" si="1"/>
        <v>0</v>
      </c>
      <c r="U34" s="43">
        <f t="shared" ca="1" si="2"/>
        <v>0</v>
      </c>
      <c r="V34" s="43">
        <f t="shared" ca="1" si="3"/>
        <v>0</v>
      </c>
      <c r="W34" s="43">
        <f ca="1">IFERROR(ROUND(T34*'Data Input'!$B$29+U34*'Data Input'!$B$30+V34*'Data Input'!$B$31+S34*'Data Input'!$B$32,0),0)</f>
        <v>0</v>
      </c>
      <c r="X34" s="17" t="str">
        <f t="shared" ca="1" si="4"/>
        <v>STRONG SELL</v>
      </c>
      <c r="Y34" s="17" t="str">
        <f t="shared" ca="1" si="5"/>
        <v>HIGH</v>
      </c>
      <c r="Z34" s="17" t="str">
        <f>IFERROR(IF(COUNTIF('Asset Analysis'!$A$4:$A$27,A34)&gt;0,"YES","NO"),"")</f>
        <v>NO</v>
      </c>
      <c r="AA34" s="17" t="str">
        <f t="shared" ca="1" si="6"/>
        <v>NOT QUALIFIED</v>
      </c>
      <c r="AB34" s="17" t="str">
        <f t="shared" ca="1" si="7"/>
        <v>—</v>
      </c>
      <c r="AC34" s="11"/>
      <c r="AD34" s="11"/>
    </row>
    <row r="35" spans="1:30" ht="15" customHeight="1" x14ac:dyDescent="0.3">
      <c r="A35" s="13" t="s">
        <v>524</v>
      </c>
      <c r="B35" s="13" t="s">
        <v>525</v>
      </c>
      <c r="C35" s="13" t="s">
        <v>504</v>
      </c>
      <c r="D35" s="13" t="s">
        <v>526</v>
      </c>
      <c r="E35" s="14" t="str">
        <f ca="1">IFERROR(ycps("XLC","price"),"")</f>
        <v/>
      </c>
      <c r="F35" s="14" t="str">
        <f ca="1">IFERROR(ycps("XLC","one_year_return"),"")</f>
        <v/>
      </c>
      <c r="G35" s="14" t="str">
        <f ca="1">IFERROR(ycps("XLC","three_year_annualized_return"),"")</f>
        <v/>
      </c>
      <c r="H35" s="14" t="str">
        <f ca="1">IFERROR(ycps("XLC","five_year_annualized_return"),"")</f>
        <v/>
      </c>
      <c r="I35" s="14" t="str">
        <f ca="1">IFERROR(ycps("XLC","one_year_volatility"),"")</f>
        <v/>
      </c>
      <c r="J35" s="42">
        <f ca="1">IFERROR(IF(I35=0,0,(F35-'Data Input'!$B$4)/I35),0)</f>
        <v>0</v>
      </c>
      <c r="K35" s="14" t="str">
        <f ca="1">IFERROR(ycps("XLC","max_drawdown_3_year"),"")</f>
        <v/>
      </c>
      <c r="L35" s="14" t="str">
        <f ca="1">IFERROR(ycps("XLC","beta_5_year"),"")</f>
        <v/>
      </c>
      <c r="M35" s="14" t="str">
        <f ca="1">IFERROR(ycps("XLC","dividend_yield"),"")</f>
        <v/>
      </c>
      <c r="N35" s="14" t="str">
        <f ca="1">IFERROR(ycps("XLC","forward_pe_ratio"),"")</f>
        <v/>
      </c>
      <c r="O35" s="14" t="str">
        <f ca="1">IFERROR(ycps("XLC","one_month_return"),"")</f>
        <v/>
      </c>
      <c r="P35" s="14" t="str">
        <f ca="1">IFERROR(ycps("XLC","three_month_return"),"")</f>
        <v/>
      </c>
      <c r="Q35" s="14" t="str">
        <f ca="1">IFERROR(ycps("XLC","six_month_return"),"")</f>
        <v/>
      </c>
      <c r="R35" s="14" t="str">
        <f ca="1">IFERROR(ycps("XLC","one_year_return"),"")</f>
        <v/>
      </c>
      <c r="S35" s="43">
        <f t="shared" ca="1" si="0"/>
        <v>0</v>
      </c>
      <c r="T35" s="43">
        <f t="shared" ca="1" si="1"/>
        <v>0</v>
      </c>
      <c r="U35" s="43">
        <f t="shared" ca="1" si="2"/>
        <v>0</v>
      </c>
      <c r="V35" s="43">
        <f t="shared" ca="1" si="3"/>
        <v>0</v>
      </c>
      <c r="W35" s="43">
        <f ca="1">IFERROR(ROUND(T35*'Data Input'!$B$29+U35*'Data Input'!$B$30+V35*'Data Input'!$B$31+S35*'Data Input'!$B$32,0),0)</f>
        <v>0</v>
      </c>
      <c r="X35" s="17" t="str">
        <f t="shared" ca="1" si="4"/>
        <v>STRONG SELL</v>
      </c>
      <c r="Y35" s="17" t="str">
        <f t="shared" ca="1" si="5"/>
        <v>HIGH</v>
      </c>
      <c r="Z35" s="17" t="str">
        <f>IFERROR(IF(COUNTIF('Asset Analysis'!$A$4:$A$27,A35)&gt;0,"YES","NO"),"")</f>
        <v>NO</v>
      </c>
      <c r="AA35" s="17" t="str">
        <f t="shared" ca="1" si="6"/>
        <v>NOT QUALIFIED</v>
      </c>
      <c r="AB35" s="17" t="str">
        <f t="shared" ca="1" si="7"/>
        <v>—</v>
      </c>
      <c r="AC35" s="11"/>
      <c r="AD35" s="11"/>
    </row>
    <row r="36" spans="1:30" ht="15" customHeight="1" x14ac:dyDescent="0.3">
      <c r="A36" s="13" t="s">
        <v>527</v>
      </c>
      <c r="B36" s="13" t="s">
        <v>528</v>
      </c>
      <c r="C36" s="13" t="s">
        <v>504</v>
      </c>
      <c r="D36" s="13" t="s">
        <v>529</v>
      </c>
      <c r="E36" s="14" t="str">
        <f ca="1">IFERROR(ycps("XLRE","price"),"")</f>
        <v/>
      </c>
      <c r="F36" s="14" t="str">
        <f ca="1">IFERROR(ycps("XLRE","one_year_return"),"")</f>
        <v/>
      </c>
      <c r="G36" s="14" t="str">
        <f ca="1">IFERROR(ycps("XLRE","three_year_annualized_return"),"")</f>
        <v/>
      </c>
      <c r="H36" s="14" t="str">
        <f ca="1">IFERROR(ycps("XLRE","five_year_annualized_return"),"")</f>
        <v/>
      </c>
      <c r="I36" s="14" t="str">
        <f ca="1">IFERROR(ycps("XLRE","one_year_volatility"),"")</f>
        <v/>
      </c>
      <c r="J36" s="42">
        <f ca="1">IFERROR(IF(I36=0,0,(F36-'Data Input'!$B$4)/I36),0)</f>
        <v>0</v>
      </c>
      <c r="K36" s="14" t="str">
        <f ca="1">IFERROR(ycps("XLRE","max_drawdown_3_year"),"")</f>
        <v/>
      </c>
      <c r="L36" s="14" t="str">
        <f ca="1">IFERROR(ycps("XLRE","beta_5_year"),"")</f>
        <v/>
      </c>
      <c r="M36" s="14" t="str">
        <f ca="1">IFERROR(ycps("XLRE","dividend_yield"),"")</f>
        <v/>
      </c>
      <c r="N36" s="14" t="str">
        <f ca="1">IFERROR(ycps("XLRE","forward_pe_ratio"),"")</f>
        <v/>
      </c>
      <c r="O36" s="14" t="str">
        <f ca="1">IFERROR(ycps("XLRE","one_month_return"),"")</f>
        <v/>
      </c>
      <c r="P36" s="14" t="str">
        <f ca="1">IFERROR(ycps("XLRE","three_month_return"),"")</f>
        <v/>
      </c>
      <c r="Q36" s="14" t="str">
        <f ca="1">IFERROR(ycps("XLRE","six_month_return"),"")</f>
        <v/>
      </c>
      <c r="R36" s="14" t="str">
        <f ca="1">IFERROR(ycps("XLRE","one_year_return"),"")</f>
        <v/>
      </c>
      <c r="S36" s="43">
        <f t="shared" ca="1" si="0"/>
        <v>0</v>
      </c>
      <c r="T36" s="43">
        <f t="shared" ca="1" si="1"/>
        <v>0</v>
      </c>
      <c r="U36" s="43">
        <f t="shared" ca="1" si="2"/>
        <v>0</v>
      </c>
      <c r="V36" s="43">
        <f t="shared" ca="1" si="3"/>
        <v>0</v>
      </c>
      <c r="W36" s="43">
        <f ca="1">IFERROR(ROUND(T36*'Data Input'!$B$29+U36*'Data Input'!$B$30+V36*'Data Input'!$B$31+S36*'Data Input'!$B$32,0),0)</f>
        <v>0</v>
      </c>
      <c r="X36" s="17" t="str">
        <f t="shared" ca="1" si="4"/>
        <v>STRONG SELL</v>
      </c>
      <c r="Y36" s="17" t="str">
        <f t="shared" ca="1" si="5"/>
        <v>HIGH</v>
      </c>
      <c r="Z36" s="17" t="str">
        <f>IFERROR(IF(COUNTIF('Asset Analysis'!$A$4:$A$27,A36)&gt;0,"YES","NO"),"")</f>
        <v>NO</v>
      </c>
      <c r="AA36" s="17" t="str">
        <f t="shared" ca="1" si="6"/>
        <v>NOT QUALIFIED</v>
      </c>
      <c r="AB36" s="17" t="str">
        <f t="shared" ca="1" si="7"/>
        <v>—</v>
      </c>
      <c r="AC36" s="11"/>
      <c r="AD36" s="11"/>
    </row>
    <row r="37" spans="1:30" ht="15" customHeight="1" x14ac:dyDescent="0.3">
      <c r="A37" s="13" t="s">
        <v>113</v>
      </c>
      <c r="B37" s="13" t="s">
        <v>530</v>
      </c>
      <c r="C37" s="13" t="s">
        <v>479</v>
      </c>
      <c r="D37" s="13" t="s">
        <v>531</v>
      </c>
      <c r="E37" s="14" t="str">
        <f ca="1">IFERROR(ycps("IWM","price"),"")</f>
        <v/>
      </c>
      <c r="F37" s="14" t="str">
        <f ca="1">IFERROR(ycps("IWM","one_year_return"),"")</f>
        <v/>
      </c>
      <c r="G37" s="14" t="str">
        <f ca="1">IFERROR(ycps("IWM","three_year_annualized_return"),"")</f>
        <v/>
      </c>
      <c r="H37" s="14" t="str">
        <f ca="1">IFERROR(ycps("IWM","five_year_annualized_return"),"")</f>
        <v/>
      </c>
      <c r="I37" s="14" t="str">
        <f ca="1">IFERROR(ycps("IWM","one_year_volatility"),"")</f>
        <v/>
      </c>
      <c r="J37" s="42">
        <f ca="1">IFERROR(IF(I37=0,0,(F37-'Data Input'!$B$4)/I37),0)</f>
        <v>0</v>
      </c>
      <c r="K37" s="14" t="str">
        <f ca="1">IFERROR(ycps("IWM","max_drawdown_3_year"),"")</f>
        <v/>
      </c>
      <c r="L37" s="14" t="str">
        <f ca="1">IFERROR(ycps("IWM","beta_5_year"),"")</f>
        <v/>
      </c>
      <c r="M37" s="14" t="str">
        <f ca="1">IFERROR(ycps("IWM","dividend_yield"),"")</f>
        <v/>
      </c>
      <c r="N37" s="14" t="str">
        <f ca="1">IFERROR(ycps("IWM","forward_pe_ratio"),"")</f>
        <v/>
      </c>
      <c r="O37" s="14" t="str">
        <f ca="1">IFERROR(ycps("IWM","one_month_return"),"")</f>
        <v/>
      </c>
      <c r="P37" s="14" t="str">
        <f ca="1">IFERROR(ycps("IWM","three_month_return"),"")</f>
        <v/>
      </c>
      <c r="Q37" s="14" t="str">
        <f ca="1">IFERROR(ycps("IWM","six_month_return"),"")</f>
        <v/>
      </c>
      <c r="R37" s="14" t="str">
        <f ca="1">IFERROR(ycps("IWM","one_year_return"),"")</f>
        <v/>
      </c>
      <c r="S37" s="43">
        <f t="shared" ca="1" si="0"/>
        <v>0</v>
      </c>
      <c r="T37" s="43">
        <f t="shared" ca="1" si="1"/>
        <v>0</v>
      </c>
      <c r="U37" s="43">
        <f t="shared" ca="1" si="2"/>
        <v>0</v>
      </c>
      <c r="V37" s="43">
        <f t="shared" ca="1" si="3"/>
        <v>0</v>
      </c>
      <c r="W37" s="43">
        <f ca="1">IFERROR(ROUND(T37*'Data Input'!$B$29+U37*'Data Input'!$B$30+V37*'Data Input'!$B$31+S37*'Data Input'!$B$32,0),0)</f>
        <v>0</v>
      </c>
      <c r="X37" s="17" t="str">
        <f t="shared" ca="1" si="4"/>
        <v>STRONG SELL</v>
      </c>
      <c r="Y37" s="17" t="str">
        <f t="shared" ca="1" si="5"/>
        <v>HIGH</v>
      </c>
      <c r="Z37" s="17" t="str">
        <f>IFERROR(IF(COUNTIF('Asset Analysis'!$A$4:$A$27,A37)&gt;0,"YES","NO"),"")</f>
        <v>YES</v>
      </c>
      <c r="AA37" s="17" t="str">
        <f t="shared" ca="1" si="6"/>
        <v>→ DELETE FROM PORTFOLIO</v>
      </c>
      <c r="AB37" s="17" t="str">
        <f t="shared" ca="1" si="7"/>
        <v>P1 — IMMEDIATE</v>
      </c>
      <c r="AC37" s="11"/>
      <c r="AD37" s="11"/>
    </row>
    <row r="38" spans="1:30" ht="15" customHeight="1" x14ac:dyDescent="0.3">
      <c r="A38" s="13" t="s">
        <v>532</v>
      </c>
      <c r="B38" s="13" t="s">
        <v>533</v>
      </c>
      <c r="C38" s="13" t="s">
        <v>479</v>
      </c>
      <c r="D38" s="13" t="s">
        <v>531</v>
      </c>
      <c r="E38" s="14" t="str">
        <f ca="1">IFERROR(ycps("IJR","price"),"")</f>
        <v/>
      </c>
      <c r="F38" s="14" t="str">
        <f ca="1">IFERROR(ycps("IJR","one_year_return"),"")</f>
        <v/>
      </c>
      <c r="G38" s="14" t="str">
        <f ca="1">IFERROR(ycps("IJR","three_year_annualized_return"),"")</f>
        <v/>
      </c>
      <c r="H38" s="14" t="str">
        <f ca="1">IFERROR(ycps("IJR","five_year_annualized_return"),"")</f>
        <v/>
      </c>
      <c r="I38" s="14" t="str">
        <f ca="1">IFERROR(ycps("IJR","one_year_volatility"),"")</f>
        <v/>
      </c>
      <c r="J38" s="42">
        <f ca="1">IFERROR(IF(I38=0,0,(F38-'Data Input'!$B$4)/I38),0)</f>
        <v>0</v>
      </c>
      <c r="K38" s="14" t="str">
        <f ca="1">IFERROR(ycps("IJR","max_drawdown_3_year"),"")</f>
        <v/>
      </c>
      <c r="L38" s="14" t="str">
        <f ca="1">IFERROR(ycps("IJR","beta_5_year"),"")</f>
        <v/>
      </c>
      <c r="M38" s="14" t="str">
        <f ca="1">IFERROR(ycps("IJR","dividend_yield"),"")</f>
        <v/>
      </c>
      <c r="N38" s="14" t="str">
        <f ca="1">IFERROR(ycps("IJR","forward_pe_ratio"),"")</f>
        <v/>
      </c>
      <c r="O38" s="14" t="str">
        <f ca="1">IFERROR(ycps("IJR","one_month_return"),"")</f>
        <v/>
      </c>
      <c r="P38" s="14" t="str">
        <f ca="1">IFERROR(ycps("IJR","three_month_return"),"")</f>
        <v/>
      </c>
      <c r="Q38" s="14" t="str">
        <f ca="1">IFERROR(ycps("IJR","six_month_return"),"")</f>
        <v/>
      </c>
      <c r="R38" s="14" t="str">
        <f ca="1">IFERROR(ycps("IJR","one_year_return"),"")</f>
        <v/>
      </c>
      <c r="S38" s="43">
        <f t="shared" ca="1" si="0"/>
        <v>0</v>
      </c>
      <c r="T38" s="43">
        <f t="shared" ca="1" si="1"/>
        <v>0</v>
      </c>
      <c r="U38" s="43">
        <f t="shared" ca="1" si="2"/>
        <v>0</v>
      </c>
      <c r="V38" s="43">
        <f t="shared" ca="1" si="3"/>
        <v>0</v>
      </c>
      <c r="W38" s="43">
        <f ca="1">IFERROR(ROUND(T38*'Data Input'!$B$29+U38*'Data Input'!$B$30+V38*'Data Input'!$B$31+S38*'Data Input'!$B$32,0),0)</f>
        <v>0</v>
      </c>
      <c r="X38" s="17" t="str">
        <f t="shared" ca="1" si="4"/>
        <v>STRONG SELL</v>
      </c>
      <c r="Y38" s="17" t="str">
        <f t="shared" ca="1" si="5"/>
        <v>HIGH</v>
      </c>
      <c r="Z38" s="17" t="str">
        <f>IFERROR(IF(COUNTIF('Asset Analysis'!$A$4:$A$27,A38)&gt;0,"YES","NO"),"")</f>
        <v>NO</v>
      </c>
      <c r="AA38" s="17" t="str">
        <f t="shared" ca="1" si="6"/>
        <v>NOT QUALIFIED</v>
      </c>
      <c r="AB38" s="17" t="str">
        <f t="shared" ca="1" si="7"/>
        <v>—</v>
      </c>
      <c r="AC38" s="11"/>
      <c r="AD38" s="11"/>
    </row>
    <row r="39" spans="1:30" ht="15" customHeight="1" x14ac:dyDescent="0.3">
      <c r="A39" s="13" t="s">
        <v>534</v>
      </c>
      <c r="B39" s="13" t="s">
        <v>535</v>
      </c>
      <c r="C39" s="13" t="s">
        <v>479</v>
      </c>
      <c r="D39" s="13" t="s">
        <v>536</v>
      </c>
      <c r="E39" s="14" t="str">
        <f ca="1">IFERROR(ycps("MDY","price"),"")</f>
        <v/>
      </c>
      <c r="F39" s="14" t="str">
        <f ca="1">IFERROR(ycps("MDY","one_year_return"),"")</f>
        <v/>
      </c>
      <c r="G39" s="14" t="str">
        <f ca="1">IFERROR(ycps("MDY","three_year_annualized_return"),"")</f>
        <v/>
      </c>
      <c r="H39" s="14" t="str">
        <f ca="1">IFERROR(ycps("MDY","five_year_annualized_return"),"")</f>
        <v/>
      </c>
      <c r="I39" s="14" t="str">
        <f ca="1">IFERROR(ycps("MDY","one_year_volatility"),"")</f>
        <v/>
      </c>
      <c r="J39" s="42">
        <f ca="1">IFERROR(IF(I39=0,0,(F39-'Data Input'!$B$4)/I39),0)</f>
        <v>0</v>
      </c>
      <c r="K39" s="14" t="str">
        <f ca="1">IFERROR(ycps("MDY","max_drawdown_3_year"),"")</f>
        <v/>
      </c>
      <c r="L39" s="14" t="str">
        <f ca="1">IFERROR(ycps("MDY","beta_5_year"),"")</f>
        <v/>
      </c>
      <c r="M39" s="14" t="str">
        <f ca="1">IFERROR(ycps("MDY","dividend_yield"),"")</f>
        <v/>
      </c>
      <c r="N39" s="14" t="str">
        <f ca="1">IFERROR(ycps("MDY","forward_pe_ratio"),"")</f>
        <v/>
      </c>
      <c r="O39" s="14" t="str">
        <f ca="1">IFERROR(ycps("MDY","one_month_return"),"")</f>
        <v/>
      </c>
      <c r="P39" s="14" t="str">
        <f ca="1">IFERROR(ycps("MDY","three_month_return"),"")</f>
        <v/>
      </c>
      <c r="Q39" s="14" t="str">
        <f ca="1">IFERROR(ycps("MDY","six_month_return"),"")</f>
        <v/>
      </c>
      <c r="R39" s="14" t="str">
        <f ca="1">IFERROR(ycps("MDY","one_year_return"),"")</f>
        <v/>
      </c>
      <c r="S39" s="43">
        <f t="shared" ca="1" si="0"/>
        <v>0</v>
      </c>
      <c r="T39" s="43">
        <f t="shared" ca="1" si="1"/>
        <v>0</v>
      </c>
      <c r="U39" s="43">
        <f t="shared" ca="1" si="2"/>
        <v>0</v>
      </c>
      <c r="V39" s="43">
        <f t="shared" ca="1" si="3"/>
        <v>0</v>
      </c>
      <c r="W39" s="43">
        <f ca="1">IFERROR(ROUND(T39*'Data Input'!$B$29+U39*'Data Input'!$B$30+V39*'Data Input'!$B$31+S39*'Data Input'!$B$32,0),0)</f>
        <v>0</v>
      </c>
      <c r="X39" s="17" t="str">
        <f t="shared" ca="1" si="4"/>
        <v>STRONG SELL</v>
      </c>
      <c r="Y39" s="17" t="str">
        <f t="shared" ca="1" si="5"/>
        <v>HIGH</v>
      </c>
      <c r="Z39" s="17" t="str">
        <f>IFERROR(IF(COUNTIF('Asset Analysis'!$A$4:$A$27,A39)&gt;0,"YES","NO"),"")</f>
        <v>NO</v>
      </c>
      <c r="AA39" s="17" t="str">
        <f t="shared" ca="1" si="6"/>
        <v>NOT QUALIFIED</v>
      </c>
      <c r="AB39" s="17" t="str">
        <f t="shared" ca="1" si="7"/>
        <v>—</v>
      </c>
      <c r="AC39" s="11"/>
      <c r="AD39" s="11"/>
    </row>
    <row r="40" spans="1:30" ht="15" customHeight="1" x14ac:dyDescent="0.3">
      <c r="A40" s="13" t="s">
        <v>537</v>
      </c>
      <c r="B40" s="13" t="s">
        <v>538</v>
      </c>
      <c r="C40" s="13" t="s">
        <v>479</v>
      </c>
      <c r="D40" s="13" t="s">
        <v>531</v>
      </c>
      <c r="E40" s="14" t="str">
        <f ca="1">IFERROR(ycps("VB","price"),"")</f>
        <v/>
      </c>
      <c r="F40" s="14" t="str">
        <f ca="1">IFERROR(ycps("VB","one_year_return"),"")</f>
        <v/>
      </c>
      <c r="G40" s="14" t="str">
        <f ca="1">IFERROR(ycps("VB","three_year_annualized_return"),"")</f>
        <v/>
      </c>
      <c r="H40" s="14" t="str">
        <f ca="1">IFERROR(ycps("VB","five_year_annualized_return"),"")</f>
        <v/>
      </c>
      <c r="I40" s="14" t="str">
        <f ca="1">IFERROR(ycps("VB","one_year_volatility"),"")</f>
        <v/>
      </c>
      <c r="J40" s="42">
        <f ca="1">IFERROR(IF(I40=0,0,(F40-'Data Input'!$B$4)/I40),0)</f>
        <v>0</v>
      </c>
      <c r="K40" s="14" t="str">
        <f ca="1">IFERROR(ycps("VB","max_drawdown_3_year"),"")</f>
        <v/>
      </c>
      <c r="L40" s="14" t="str">
        <f ca="1">IFERROR(ycps("VB","beta_5_year"),"")</f>
        <v/>
      </c>
      <c r="M40" s="14" t="str">
        <f ca="1">IFERROR(ycps("VB","dividend_yield"),"")</f>
        <v/>
      </c>
      <c r="N40" s="14" t="str">
        <f ca="1">IFERROR(ycps("VB","forward_pe_ratio"),"")</f>
        <v/>
      </c>
      <c r="O40" s="14" t="str">
        <f ca="1">IFERROR(ycps("VB","one_month_return"),"")</f>
        <v/>
      </c>
      <c r="P40" s="14" t="str">
        <f ca="1">IFERROR(ycps("VB","three_month_return"),"")</f>
        <v/>
      </c>
      <c r="Q40" s="14" t="str">
        <f ca="1">IFERROR(ycps("VB","six_month_return"),"")</f>
        <v/>
      </c>
      <c r="R40" s="14" t="str">
        <f ca="1">IFERROR(ycps("VB","one_year_return"),"")</f>
        <v/>
      </c>
      <c r="S40" s="43">
        <f t="shared" ca="1" si="0"/>
        <v>0</v>
      </c>
      <c r="T40" s="43">
        <f t="shared" ca="1" si="1"/>
        <v>0</v>
      </c>
      <c r="U40" s="43">
        <f t="shared" ca="1" si="2"/>
        <v>0</v>
      </c>
      <c r="V40" s="43">
        <f t="shared" ca="1" si="3"/>
        <v>0</v>
      </c>
      <c r="W40" s="43">
        <f ca="1">IFERROR(ROUND(T40*'Data Input'!$B$29+U40*'Data Input'!$B$30+V40*'Data Input'!$B$31+S40*'Data Input'!$B$32,0),0)</f>
        <v>0</v>
      </c>
      <c r="X40" s="17" t="str">
        <f t="shared" ca="1" si="4"/>
        <v>STRONG SELL</v>
      </c>
      <c r="Y40" s="17" t="str">
        <f t="shared" ca="1" si="5"/>
        <v>HIGH</v>
      </c>
      <c r="Z40" s="17" t="str">
        <f>IFERROR(IF(COUNTIF('Asset Analysis'!$A$4:$A$27,A40)&gt;0,"YES","NO"),"")</f>
        <v>NO</v>
      </c>
      <c r="AA40" s="17" t="str">
        <f t="shared" ca="1" si="6"/>
        <v>NOT QUALIFIED</v>
      </c>
      <c r="AB40" s="17" t="str">
        <f t="shared" ca="1" si="7"/>
        <v>—</v>
      </c>
      <c r="AC40" s="11"/>
      <c r="AD40" s="11"/>
    </row>
    <row r="41" spans="1:30" ht="15" customHeight="1" x14ac:dyDescent="0.3">
      <c r="A41" s="13" t="s">
        <v>539</v>
      </c>
      <c r="B41" s="13" t="s">
        <v>540</v>
      </c>
      <c r="C41" s="13" t="s">
        <v>479</v>
      </c>
      <c r="D41" s="13" t="s">
        <v>536</v>
      </c>
      <c r="E41" s="14" t="str">
        <f ca="1">IFERROR(ycps("VO","price"),"")</f>
        <v/>
      </c>
      <c r="F41" s="14" t="str">
        <f ca="1">IFERROR(ycps("VO","one_year_return"),"")</f>
        <v/>
      </c>
      <c r="G41" s="14" t="str">
        <f ca="1">IFERROR(ycps("VO","three_year_annualized_return"),"")</f>
        <v/>
      </c>
      <c r="H41" s="14" t="str">
        <f ca="1">IFERROR(ycps("VO","five_year_annualized_return"),"")</f>
        <v/>
      </c>
      <c r="I41" s="14" t="str">
        <f ca="1">IFERROR(ycps("VO","one_year_volatility"),"")</f>
        <v/>
      </c>
      <c r="J41" s="42">
        <f ca="1">IFERROR(IF(I41=0,0,(F41-'Data Input'!$B$4)/I41),0)</f>
        <v>0</v>
      </c>
      <c r="K41" s="14" t="str">
        <f ca="1">IFERROR(ycps("VO","max_drawdown_3_year"),"")</f>
        <v/>
      </c>
      <c r="L41" s="14" t="str">
        <f ca="1">IFERROR(ycps("VO","beta_5_year"),"")</f>
        <v/>
      </c>
      <c r="M41" s="14" t="str">
        <f ca="1">IFERROR(ycps("VO","dividend_yield"),"")</f>
        <v/>
      </c>
      <c r="N41" s="14" t="str">
        <f ca="1">IFERROR(ycps("VO","forward_pe_ratio"),"")</f>
        <v/>
      </c>
      <c r="O41" s="14" t="str">
        <f ca="1">IFERROR(ycps("VO","one_month_return"),"")</f>
        <v/>
      </c>
      <c r="P41" s="14" t="str">
        <f ca="1">IFERROR(ycps("VO","three_month_return"),"")</f>
        <v/>
      </c>
      <c r="Q41" s="14" t="str">
        <f ca="1">IFERROR(ycps("VO","six_month_return"),"")</f>
        <v/>
      </c>
      <c r="R41" s="14" t="str">
        <f ca="1">IFERROR(ycps("VO","one_year_return"),"")</f>
        <v/>
      </c>
      <c r="S41" s="43">
        <f t="shared" ca="1" si="0"/>
        <v>0</v>
      </c>
      <c r="T41" s="43">
        <f t="shared" ca="1" si="1"/>
        <v>0</v>
      </c>
      <c r="U41" s="43">
        <f t="shared" ca="1" si="2"/>
        <v>0</v>
      </c>
      <c r="V41" s="43">
        <f t="shared" ca="1" si="3"/>
        <v>0</v>
      </c>
      <c r="W41" s="43">
        <f ca="1">IFERROR(ROUND(T41*'Data Input'!$B$29+U41*'Data Input'!$B$30+V41*'Data Input'!$B$31+S41*'Data Input'!$B$32,0),0)</f>
        <v>0</v>
      </c>
      <c r="X41" s="17" t="str">
        <f t="shared" ca="1" si="4"/>
        <v>STRONG SELL</v>
      </c>
      <c r="Y41" s="17" t="str">
        <f t="shared" ca="1" si="5"/>
        <v>HIGH</v>
      </c>
      <c r="Z41" s="17" t="str">
        <f>IFERROR(IF(COUNTIF('Asset Analysis'!$A$4:$A$27,A41)&gt;0,"YES","NO"),"")</f>
        <v>NO</v>
      </c>
      <c r="AA41" s="17" t="str">
        <f t="shared" ca="1" si="6"/>
        <v>NOT QUALIFIED</v>
      </c>
      <c r="AB41" s="17" t="str">
        <f t="shared" ca="1" si="7"/>
        <v>—</v>
      </c>
      <c r="AC41" s="11"/>
      <c r="AD41" s="11"/>
    </row>
    <row r="42" spans="1:30" ht="15" customHeight="1" x14ac:dyDescent="0.3">
      <c r="A42" s="13" t="s">
        <v>114</v>
      </c>
      <c r="B42" s="13" t="s">
        <v>541</v>
      </c>
      <c r="C42" s="13" t="s">
        <v>542</v>
      </c>
      <c r="D42" s="13" t="s">
        <v>543</v>
      </c>
      <c r="E42" s="14" t="str">
        <f ca="1">IFERROR(ycps("EFA","price"),"")</f>
        <v/>
      </c>
      <c r="F42" s="14" t="str">
        <f ca="1">IFERROR(ycps("EFA","one_year_return"),"")</f>
        <v/>
      </c>
      <c r="G42" s="14" t="str">
        <f ca="1">IFERROR(ycps("EFA","three_year_annualized_return"),"")</f>
        <v/>
      </c>
      <c r="H42" s="14" t="str">
        <f ca="1">IFERROR(ycps("EFA","five_year_annualized_return"),"")</f>
        <v/>
      </c>
      <c r="I42" s="14" t="str">
        <f ca="1">IFERROR(ycps("EFA","one_year_volatility"),"")</f>
        <v/>
      </c>
      <c r="J42" s="42">
        <f ca="1">IFERROR(IF(I42=0,0,(F42-'Data Input'!$B$4)/I42),0)</f>
        <v>0</v>
      </c>
      <c r="K42" s="14" t="str">
        <f ca="1">IFERROR(ycps("EFA","max_drawdown_3_year"),"")</f>
        <v/>
      </c>
      <c r="L42" s="14" t="str">
        <f ca="1">IFERROR(ycps("EFA","beta_5_year"),"")</f>
        <v/>
      </c>
      <c r="M42" s="14" t="str">
        <f ca="1">IFERROR(ycps("EFA","dividend_yield"),"")</f>
        <v/>
      </c>
      <c r="N42" s="14" t="str">
        <f ca="1">IFERROR(ycps("EFA","forward_pe_ratio"),"")</f>
        <v/>
      </c>
      <c r="O42" s="14" t="str">
        <f ca="1">IFERROR(ycps("EFA","one_month_return"),"")</f>
        <v/>
      </c>
      <c r="P42" s="14" t="str">
        <f ca="1">IFERROR(ycps("EFA","three_month_return"),"")</f>
        <v/>
      </c>
      <c r="Q42" s="14" t="str">
        <f ca="1">IFERROR(ycps("EFA","six_month_return"),"")</f>
        <v/>
      </c>
      <c r="R42" s="14" t="str">
        <f ca="1">IFERROR(ycps("EFA","one_year_return"),"")</f>
        <v/>
      </c>
      <c r="S42" s="43">
        <f t="shared" ca="1" si="0"/>
        <v>0</v>
      </c>
      <c r="T42" s="43">
        <f t="shared" ca="1" si="1"/>
        <v>0</v>
      </c>
      <c r="U42" s="43">
        <f t="shared" ca="1" si="2"/>
        <v>0</v>
      </c>
      <c r="V42" s="43">
        <f t="shared" ca="1" si="3"/>
        <v>0</v>
      </c>
      <c r="W42" s="43">
        <f ca="1">IFERROR(ROUND(T42*'Data Input'!$B$29+U42*'Data Input'!$B$30+V42*'Data Input'!$B$31+S42*'Data Input'!$B$32,0),0)</f>
        <v>0</v>
      </c>
      <c r="X42" s="17" t="str">
        <f t="shared" ca="1" si="4"/>
        <v>STRONG SELL</v>
      </c>
      <c r="Y42" s="17" t="str">
        <f t="shared" ca="1" si="5"/>
        <v>HIGH</v>
      </c>
      <c r="Z42" s="17" t="str">
        <f>IFERROR(IF(COUNTIF('Asset Analysis'!$A$4:$A$27,A42)&gt;0,"YES","NO"),"")</f>
        <v>YES</v>
      </c>
      <c r="AA42" s="17" t="str">
        <f t="shared" ca="1" si="6"/>
        <v>→ DELETE FROM PORTFOLIO</v>
      </c>
      <c r="AB42" s="17" t="str">
        <f t="shared" ca="1" si="7"/>
        <v>P1 — IMMEDIATE</v>
      </c>
      <c r="AC42" s="11"/>
      <c r="AD42" s="11"/>
    </row>
    <row r="43" spans="1:30" ht="15" customHeight="1" x14ac:dyDescent="0.3">
      <c r="A43" s="13" t="s">
        <v>544</v>
      </c>
      <c r="B43" s="13" t="s">
        <v>545</v>
      </c>
      <c r="C43" s="13" t="s">
        <v>542</v>
      </c>
      <c r="D43" s="13" t="s">
        <v>543</v>
      </c>
      <c r="E43" s="14" t="str">
        <f ca="1">IFERROR(ycps("VEA","price"),"")</f>
        <v/>
      </c>
      <c r="F43" s="14" t="str">
        <f ca="1">IFERROR(ycps("VEA","one_year_return"),"")</f>
        <v/>
      </c>
      <c r="G43" s="14" t="str">
        <f ca="1">IFERROR(ycps("VEA","three_year_annualized_return"),"")</f>
        <v/>
      </c>
      <c r="H43" s="14" t="str">
        <f ca="1">IFERROR(ycps("VEA","five_year_annualized_return"),"")</f>
        <v/>
      </c>
      <c r="I43" s="14" t="str">
        <f ca="1">IFERROR(ycps("VEA","one_year_volatility"),"")</f>
        <v/>
      </c>
      <c r="J43" s="42">
        <f ca="1">IFERROR(IF(I43=0,0,(F43-'Data Input'!$B$4)/I43),0)</f>
        <v>0</v>
      </c>
      <c r="K43" s="14" t="str">
        <f ca="1">IFERROR(ycps("VEA","max_drawdown_3_year"),"")</f>
        <v/>
      </c>
      <c r="L43" s="14" t="str">
        <f ca="1">IFERROR(ycps("VEA","beta_5_year"),"")</f>
        <v/>
      </c>
      <c r="M43" s="14" t="str">
        <f ca="1">IFERROR(ycps("VEA","dividend_yield"),"")</f>
        <v/>
      </c>
      <c r="N43" s="14" t="str">
        <f ca="1">IFERROR(ycps("VEA","forward_pe_ratio"),"")</f>
        <v/>
      </c>
      <c r="O43" s="14" t="str">
        <f ca="1">IFERROR(ycps("VEA","one_month_return"),"")</f>
        <v/>
      </c>
      <c r="P43" s="14" t="str">
        <f ca="1">IFERROR(ycps("VEA","three_month_return"),"")</f>
        <v/>
      </c>
      <c r="Q43" s="14" t="str">
        <f ca="1">IFERROR(ycps("VEA","six_month_return"),"")</f>
        <v/>
      </c>
      <c r="R43" s="14" t="str">
        <f ca="1">IFERROR(ycps("VEA","one_year_return"),"")</f>
        <v/>
      </c>
      <c r="S43" s="43">
        <f t="shared" ca="1" si="0"/>
        <v>0</v>
      </c>
      <c r="T43" s="43">
        <f t="shared" ca="1" si="1"/>
        <v>0</v>
      </c>
      <c r="U43" s="43">
        <f t="shared" ca="1" si="2"/>
        <v>0</v>
      </c>
      <c r="V43" s="43">
        <f t="shared" ca="1" si="3"/>
        <v>0</v>
      </c>
      <c r="W43" s="43">
        <f ca="1">IFERROR(ROUND(T43*'Data Input'!$B$29+U43*'Data Input'!$B$30+V43*'Data Input'!$B$31+S43*'Data Input'!$B$32,0),0)</f>
        <v>0</v>
      </c>
      <c r="X43" s="17" t="str">
        <f t="shared" ca="1" si="4"/>
        <v>STRONG SELL</v>
      </c>
      <c r="Y43" s="17" t="str">
        <f t="shared" ca="1" si="5"/>
        <v>HIGH</v>
      </c>
      <c r="Z43" s="17" t="str">
        <f>IFERROR(IF(COUNTIF('Asset Analysis'!$A$4:$A$27,A43)&gt;0,"YES","NO"),"")</f>
        <v>NO</v>
      </c>
      <c r="AA43" s="17" t="str">
        <f t="shared" ca="1" si="6"/>
        <v>NOT QUALIFIED</v>
      </c>
      <c r="AB43" s="17" t="str">
        <f t="shared" ca="1" si="7"/>
        <v>—</v>
      </c>
      <c r="AC43" s="11"/>
      <c r="AD43" s="11"/>
    </row>
    <row r="44" spans="1:30" ht="15" customHeight="1" x14ac:dyDescent="0.3">
      <c r="A44" s="13" t="s">
        <v>116</v>
      </c>
      <c r="B44" s="13" t="s">
        <v>546</v>
      </c>
      <c r="C44" s="13" t="s">
        <v>542</v>
      </c>
      <c r="D44" s="13" t="s">
        <v>547</v>
      </c>
      <c r="E44" s="14" t="str">
        <f ca="1">IFERROR(ycps("EEM","price"),"")</f>
        <v/>
      </c>
      <c r="F44" s="14" t="str">
        <f ca="1">IFERROR(ycps("EEM","one_year_return"),"")</f>
        <v/>
      </c>
      <c r="G44" s="14" t="str">
        <f ca="1">IFERROR(ycps("EEM","three_year_annualized_return"),"")</f>
        <v/>
      </c>
      <c r="H44" s="14" t="str">
        <f ca="1">IFERROR(ycps("EEM","five_year_annualized_return"),"")</f>
        <v/>
      </c>
      <c r="I44" s="14" t="str">
        <f ca="1">IFERROR(ycps("EEM","one_year_volatility"),"")</f>
        <v/>
      </c>
      <c r="J44" s="42">
        <f ca="1">IFERROR(IF(I44=0,0,(F44-'Data Input'!$B$4)/I44),0)</f>
        <v>0</v>
      </c>
      <c r="K44" s="14" t="str">
        <f ca="1">IFERROR(ycps("EEM","max_drawdown_3_year"),"")</f>
        <v/>
      </c>
      <c r="L44" s="14" t="str">
        <f ca="1">IFERROR(ycps("EEM","beta_5_year"),"")</f>
        <v/>
      </c>
      <c r="M44" s="14" t="str">
        <f ca="1">IFERROR(ycps("EEM","dividend_yield"),"")</f>
        <v/>
      </c>
      <c r="N44" s="14" t="str">
        <f ca="1">IFERROR(ycps("EEM","forward_pe_ratio"),"")</f>
        <v/>
      </c>
      <c r="O44" s="14" t="str">
        <f ca="1">IFERROR(ycps("EEM","one_month_return"),"")</f>
        <v/>
      </c>
      <c r="P44" s="14" t="str">
        <f ca="1">IFERROR(ycps("EEM","three_month_return"),"")</f>
        <v/>
      </c>
      <c r="Q44" s="14" t="str">
        <f ca="1">IFERROR(ycps("EEM","six_month_return"),"")</f>
        <v/>
      </c>
      <c r="R44" s="14" t="str">
        <f ca="1">IFERROR(ycps("EEM","one_year_return"),"")</f>
        <v/>
      </c>
      <c r="S44" s="43">
        <f t="shared" ca="1" si="0"/>
        <v>0</v>
      </c>
      <c r="T44" s="43">
        <f t="shared" ca="1" si="1"/>
        <v>0</v>
      </c>
      <c r="U44" s="43">
        <f t="shared" ca="1" si="2"/>
        <v>0</v>
      </c>
      <c r="V44" s="43">
        <f t="shared" ca="1" si="3"/>
        <v>0</v>
      </c>
      <c r="W44" s="43">
        <f ca="1">IFERROR(ROUND(T44*'Data Input'!$B$29+U44*'Data Input'!$B$30+V44*'Data Input'!$B$31+S44*'Data Input'!$B$32,0),0)</f>
        <v>0</v>
      </c>
      <c r="X44" s="17" t="str">
        <f t="shared" ca="1" si="4"/>
        <v>STRONG SELL</v>
      </c>
      <c r="Y44" s="17" t="str">
        <f t="shared" ca="1" si="5"/>
        <v>HIGH</v>
      </c>
      <c r="Z44" s="17" t="str">
        <f>IFERROR(IF(COUNTIF('Asset Analysis'!$A$4:$A$27,A44)&gt;0,"YES","NO"),"")</f>
        <v>YES</v>
      </c>
      <c r="AA44" s="17" t="str">
        <f t="shared" ca="1" si="6"/>
        <v>→ DELETE FROM PORTFOLIO</v>
      </c>
      <c r="AB44" s="17" t="str">
        <f t="shared" ca="1" si="7"/>
        <v>P1 — IMMEDIATE</v>
      </c>
      <c r="AC44" s="11"/>
      <c r="AD44" s="11"/>
    </row>
    <row r="45" spans="1:30" ht="15" customHeight="1" x14ac:dyDescent="0.3">
      <c r="A45" s="13" t="s">
        <v>548</v>
      </c>
      <c r="B45" s="13" t="s">
        <v>549</v>
      </c>
      <c r="C45" s="13" t="s">
        <v>542</v>
      </c>
      <c r="D45" s="13" t="s">
        <v>547</v>
      </c>
      <c r="E45" s="14" t="str">
        <f ca="1">IFERROR(ycps("VWO","price"),"")</f>
        <v/>
      </c>
      <c r="F45" s="14" t="str">
        <f ca="1">IFERROR(ycps("VWO","one_year_return"),"")</f>
        <v/>
      </c>
      <c r="G45" s="14" t="str">
        <f ca="1">IFERROR(ycps("VWO","three_year_annualized_return"),"")</f>
        <v/>
      </c>
      <c r="H45" s="14" t="str">
        <f ca="1">IFERROR(ycps("VWO","five_year_annualized_return"),"")</f>
        <v/>
      </c>
      <c r="I45" s="14" t="str">
        <f ca="1">IFERROR(ycps("VWO","one_year_volatility"),"")</f>
        <v/>
      </c>
      <c r="J45" s="42">
        <f ca="1">IFERROR(IF(I45=0,0,(F45-'Data Input'!$B$4)/I45),0)</f>
        <v>0</v>
      </c>
      <c r="K45" s="14" t="str">
        <f ca="1">IFERROR(ycps("VWO","max_drawdown_3_year"),"")</f>
        <v/>
      </c>
      <c r="L45" s="14" t="str">
        <f ca="1">IFERROR(ycps("VWO","beta_5_year"),"")</f>
        <v/>
      </c>
      <c r="M45" s="14" t="str">
        <f ca="1">IFERROR(ycps("VWO","dividend_yield"),"")</f>
        <v/>
      </c>
      <c r="N45" s="14" t="str">
        <f ca="1">IFERROR(ycps("VWO","forward_pe_ratio"),"")</f>
        <v/>
      </c>
      <c r="O45" s="14" t="str">
        <f ca="1">IFERROR(ycps("VWO","one_month_return"),"")</f>
        <v/>
      </c>
      <c r="P45" s="14" t="str">
        <f ca="1">IFERROR(ycps("VWO","three_month_return"),"")</f>
        <v/>
      </c>
      <c r="Q45" s="14" t="str">
        <f ca="1">IFERROR(ycps("VWO","six_month_return"),"")</f>
        <v/>
      </c>
      <c r="R45" s="14" t="str">
        <f ca="1">IFERROR(ycps("VWO","one_year_return"),"")</f>
        <v/>
      </c>
      <c r="S45" s="43">
        <f t="shared" ca="1" si="0"/>
        <v>0</v>
      </c>
      <c r="T45" s="43">
        <f t="shared" ca="1" si="1"/>
        <v>0</v>
      </c>
      <c r="U45" s="43">
        <f t="shared" ca="1" si="2"/>
        <v>0</v>
      </c>
      <c r="V45" s="43">
        <f t="shared" ca="1" si="3"/>
        <v>0</v>
      </c>
      <c r="W45" s="43">
        <f ca="1">IFERROR(ROUND(T45*'Data Input'!$B$29+U45*'Data Input'!$B$30+V45*'Data Input'!$B$31+S45*'Data Input'!$B$32,0),0)</f>
        <v>0</v>
      </c>
      <c r="X45" s="17" t="str">
        <f t="shared" ca="1" si="4"/>
        <v>STRONG SELL</v>
      </c>
      <c r="Y45" s="17" t="str">
        <f t="shared" ca="1" si="5"/>
        <v>HIGH</v>
      </c>
      <c r="Z45" s="17" t="str">
        <f>IFERROR(IF(COUNTIF('Asset Analysis'!$A$4:$A$27,A45)&gt;0,"YES","NO"),"")</f>
        <v>NO</v>
      </c>
      <c r="AA45" s="17" t="str">
        <f t="shared" ca="1" si="6"/>
        <v>NOT QUALIFIED</v>
      </c>
      <c r="AB45" s="17" t="str">
        <f t="shared" ca="1" si="7"/>
        <v>—</v>
      </c>
      <c r="AC45" s="11"/>
      <c r="AD45" s="11"/>
    </row>
    <row r="46" spans="1:30" ht="15" customHeight="1" x14ac:dyDescent="0.3">
      <c r="A46" s="13" t="s">
        <v>550</v>
      </c>
      <c r="B46" s="13" t="s">
        <v>551</v>
      </c>
      <c r="C46" s="13" t="s">
        <v>542</v>
      </c>
      <c r="D46" s="13" t="s">
        <v>552</v>
      </c>
      <c r="E46" s="14" t="str">
        <f ca="1">IFERROR(ycps("IXUS","price"),"")</f>
        <v/>
      </c>
      <c r="F46" s="14" t="str">
        <f ca="1">IFERROR(ycps("IXUS","one_year_return"),"")</f>
        <v/>
      </c>
      <c r="G46" s="14" t="str">
        <f ca="1">IFERROR(ycps("IXUS","three_year_annualized_return"),"")</f>
        <v/>
      </c>
      <c r="H46" s="14" t="str">
        <f ca="1">IFERROR(ycps("IXUS","five_year_annualized_return"),"")</f>
        <v/>
      </c>
      <c r="I46" s="14" t="str">
        <f ca="1">IFERROR(ycps("IXUS","one_year_volatility"),"")</f>
        <v/>
      </c>
      <c r="J46" s="42">
        <f ca="1">IFERROR(IF(I46=0,0,(F46-'Data Input'!$B$4)/I46),0)</f>
        <v>0</v>
      </c>
      <c r="K46" s="14" t="str">
        <f ca="1">IFERROR(ycps("IXUS","max_drawdown_3_year"),"")</f>
        <v/>
      </c>
      <c r="L46" s="14" t="str">
        <f ca="1">IFERROR(ycps("IXUS","beta_5_year"),"")</f>
        <v/>
      </c>
      <c r="M46" s="14" t="str">
        <f ca="1">IFERROR(ycps("IXUS","dividend_yield"),"")</f>
        <v/>
      </c>
      <c r="N46" s="14" t="str">
        <f ca="1">IFERROR(ycps("IXUS","forward_pe_ratio"),"")</f>
        <v/>
      </c>
      <c r="O46" s="14" t="str">
        <f ca="1">IFERROR(ycps("IXUS","one_month_return"),"")</f>
        <v/>
      </c>
      <c r="P46" s="14" t="str">
        <f ca="1">IFERROR(ycps("IXUS","three_month_return"),"")</f>
        <v/>
      </c>
      <c r="Q46" s="14" t="str">
        <f ca="1">IFERROR(ycps("IXUS","six_month_return"),"")</f>
        <v/>
      </c>
      <c r="R46" s="14" t="str">
        <f ca="1">IFERROR(ycps("IXUS","one_year_return"),"")</f>
        <v/>
      </c>
      <c r="S46" s="43">
        <f t="shared" ca="1" si="0"/>
        <v>0</v>
      </c>
      <c r="T46" s="43">
        <f t="shared" ca="1" si="1"/>
        <v>0</v>
      </c>
      <c r="U46" s="43">
        <f t="shared" ca="1" si="2"/>
        <v>0</v>
      </c>
      <c r="V46" s="43">
        <f t="shared" ca="1" si="3"/>
        <v>0</v>
      </c>
      <c r="W46" s="43">
        <f ca="1">IFERROR(ROUND(T46*'Data Input'!$B$29+U46*'Data Input'!$B$30+V46*'Data Input'!$B$31+S46*'Data Input'!$B$32,0),0)</f>
        <v>0</v>
      </c>
      <c r="X46" s="17" t="str">
        <f t="shared" ca="1" si="4"/>
        <v>STRONG SELL</v>
      </c>
      <c r="Y46" s="17" t="str">
        <f t="shared" ca="1" si="5"/>
        <v>HIGH</v>
      </c>
      <c r="Z46" s="17" t="str">
        <f>IFERROR(IF(COUNTIF('Asset Analysis'!$A$4:$A$27,A46)&gt;0,"YES","NO"),"")</f>
        <v>NO</v>
      </c>
      <c r="AA46" s="17" t="str">
        <f t="shared" ca="1" si="6"/>
        <v>NOT QUALIFIED</v>
      </c>
      <c r="AB46" s="17" t="str">
        <f t="shared" ca="1" si="7"/>
        <v>—</v>
      </c>
      <c r="AC46" s="11"/>
      <c r="AD46" s="11"/>
    </row>
    <row r="47" spans="1:30" ht="15" customHeight="1" x14ac:dyDescent="0.3">
      <c r="A47" s="13" t="s">
        <v>553</v>
      </c>
      <c r="B47" s="13" t="s">
        <v>554</v>
      </c>
      <c r="C47" s="13" t="s">
        <v>542</v>
      </c>
      <c r="D47" s="13" t="s">
        <v>543</v>
      </c>
      <c r="E47" s="14" t="str">
        <f ca="1">IFERROR(ycps("IEFA","price"),"")</f>
        <v/>
      </c>
      <c r="F47" s="14" t="str">
        <f ca="1">IFERROR(ycps("IEFA","one_year_return"),"")</f>
        <v/>
      </c>
      <c r="G47" s="14" t="str">
        <f ca="1">IFERROR(ycps("IEFA","three_year_annualized_return"),"")</f>
        <v/>
      </c>
      <c r="H47" s="14" t="str">
        <f ca="1">IFERROR(ycps("IEFA","five_year_annualized_return"),"")</f>
        <v/>
      </c>
      <c r="I47" s="14" t="str">
        <f ca="1">IFERROR(ycps("IEFA","one_year_volatility"),"")</f>
        <v/>
      </c>
      <c r="J47" s="42">
        <f ca="1">IFERROR(IF(I47=0,0,(F47-'Data Input'!$B$4)/I47),0)</f>
        <v>0</v>
      </c>
      <c r="K47" s="14" t="str">
        <f ca="1">IFERROR(ycps("IEFA","max_drawdown_3_year"),"")</f>
        <v/>
      </c>
      <c r="L47" s="14" t="str">
        <f ca="1">IFERROR(ycps("IEFA","beta_5_year"),"")</f>
        <v/>
      </c>
      <c r="M47" s="14" t="str">
        <f ca="1">IFERROR(ycps("IEFA","dividend_yield"),"")</f>
        <v/>
      </c>
      <c r="N47" s="14" t="str">
        <f ca="1">IFERROR(ycps("IEFA","forward_pe_ratio"),"")</f>
        <v/>
      </c>
      <c r="O47" s="14" t="str">
        <f ca="1">IFERROR(ycps("IEFA","one_month_return"),"")</f>
        <v/>
      </c>
      <c r="P47" s="14" t="str">
        <f ca="1">IFERROR(ycps("IEFA","three_month_return"),"")</f>
        <v/>
      </c>
      <c r="Q47" s="14" t="str">
        <f ca="1">IFERROR(ycps("IEFA","six_month_return"),"")</f>
        <v/>
      </c>
      <c r="R47" s="14" t="str">
        <f ca="1">IFERROR(ycps("IEFA","one_year_return"),"")</f>
        <v/>
      </c>
      <c r="S47" s="43">
        <f t="shared" ca="1" si="0"/>
        <v>0</v>
      </c>
      <c r="T47" s="43">
        <f t="shared" ca="1" si="1"/>
        <v>0</v>
      </c>
      <c r="U47" s="43">
        <f t="shared" ca="1" si="2"/>
        <v>0</v>
      </c>
      <c r="V47" s="43">
        <f t="shared" ca="1" si="3"/>
        <v>0</v>
      </c>
      <c r="W47" s="43">
        <f ca="1">IFERROR(ROUND(T47*'Data Input'!$B$29+U47*'Data Input'!$B$30+V47*'Data Input'!$B$31+S47*'Data Input'!$B$32,0),0)</f>
        <v>0</v>
      </c>
      <c r="X47" s="17" t="str">
        <f t="shared" ca="1" si="4"/>
        <v>STRONG SELL</v>
      </c>
      <c r="Y47" s="17" t="str">
        <f t="shared" ca="1" si="5"/>
        <v>HIGH</v>
      </c>
      <c r="Z47" s="17" t="str">
        <f>IFERROR(IF(COUNTIF('Asset Analysis'!$A$4:$A$27,A47)&gt;0,"YES","NO"),"")</f>
        <v>NO</v>
      </c>
      <c r="AA47" s="17" t="str">
        <f t="shared" ca="1" si="6"/>
        <v>NOT QUALIFIED</v>
      </c>
      <c r="AB47" s="17" t="str">
        <f t="shared" ca="1" si="7"/>
        <v>—</v>
      </c>
      <c r="AC47" s="11"/>
      <c r="AD47" s="11"/>
    </row>
    <row r="48" spans="1:30" ht="15" customHeight="1" x14ac:dyDescent="0.3">
      <c r="A48" s="13" t="s">
        <v>555</v>
      </c>
      <c r="B48" s="13" t="s">
        <v>556</v>
      </c>
      <c r="C48" s="13" t="s">
        <v>542</v>
      </c>
      <c r="D48" s="13" t="s">
        <v>557</v>
      </c>
      <c r="E48" s="14" t="str">
        <f ca="1">IFERROR(ycps("EWJ","price"),"")</f>
        <v/>
      </c>
      <c r="F48" s="14" t="str">
        <f ca="1">IFERROR(ycps("EWJ","one_year_return"),"")</f>
        <v/>
      </c>
      <c r="G48" s="14" t="str">
        <f ca="1">IFERROR(ycps("EWJ","three_year_annualized_return"),"")</f>
        <v/>
      </c>
      <c r="H48" s="14" t="str">
        <f ca="1">IFERROR(ycps("EWJ","five_year_annualized_return"),"")</f>
        <v/>
      </c>
      <c r="I48" s="14" t="str">
        <f ca="1">IFERROR(ycps("EWJ","one_year_volatility"),"")</f>
        <v/>
      </c>
      <c r="J48" s="42">
        <f ca="1">IFERROR(IF(I48=0,0,(F48-'Data Input'!$B$4)/I48),0)</f>
        <v>0</v>
      </c>
      <c r="K48" s="14" t="str">
        <f ca="1">IFERROR(ycps("EWJ","max_drawdown_3_year"),"")</f>
        <v/>
      </c>
      <c r="L48" s="14" t="str">
        <f ca="1">IFERROR(ycps("EWJ","beta_5_year"),"")</f>
        <v/>
      </c>
      <c r="M48" s="14" t="str">
        <f ca="1">IFERROR(ycps("EWJ","dividend_yield"),"")</f>
        <v/>
      </c>
      <c r="N48" s="14" t="str">
        <f ca="1">IFERROR(ycps("EWJ","forward_pe_ratio"),"")</f>
        <v/>
      </c>
      <c r="O48" s="14" t="str">
        <f ca="1">IFERROR(ycps("EWJ","one_month_return"),"")</f>
        <v/>
      </c>
      <c r="P48" s="14" t="str">
        <f ca="1">IFERROR(ycps("EWJ","three_month_return"),"")</f>
        <v/>
      </c>
      <c r="Q48" s="14" t="str">
        <f ca="1">IFERROR(ycps("EWJ","six_month_return"),"")</f>
        <v/>
      </c>
      <c r="R48" s="14" t="str">
        <f ca="1">IFERROR(ycps("EWJ","one_year_return"),"")</f>
        <v/>
      </c>
      <c r="S48" s="43">
        <f t="shared" ca="1" si="0"/>
        <v>0</v>
      </c>
      <c r="T48" s="43">
        <f t="shared" ca="1" si="1"/>
        <v>0</v>
      </c>
      <c r="U48" s="43">
        <f t="shared" ca="1" si="2"/>
        <v>0</v>
      </c>
      <c r="V48" s="43">
        <f t="shared" ca="1" si="3"/>
        <v>0</v>
      </c>
      <c r="W48" s="43">
        <f ca="1">IFERROR(ROUND(T48*'Data Input'!$B$29+U48*'Data Input'!$B$30+V48*'Data Input'!$B$31+S48*'Data Input'!$B$32,0),0)</f>
        <v>0</v>
      </c>
      <c r="X48" s="17" t="str">
        <f t="shared" ca="1" si="4"/>
        <v>STRONG SELL</v>
      </c>
      <c r="Y48" s="17" t="str">
        <f t="shared" ca="1" si="5"/>
        <v>HIGH</v>
      </c>
      <c r="Z48" s="17" t="str">
        <f>IFERROR(IF(COUNTIF('Asset Analysis'!$A$4:$A$27,A48)&gt;0,"YES","NO"),"")</f>
        <v>NO</v>
      </c>
      <c r="AA48" s="17" t="str">
        <f t="shared" ca="1" si="6"/>
        <v>NOT QUALIFIED</v>
      </c>
      <c r="AB48" s="17" t="str">
        <f t="shared" ca="1" si="7"/>
        <v>—</v>
      </c>
      <c r="AC48" s="11"/>
      <c r="AD48" s="11"/>
    </row>
    <row r="49" spans="1:30" ht="15" customHeight="1" x14ac:dyDescent="0.3">
      <c r="A49" s="13" t="s">
        <v>558</v>
      </c>
      <c r="B49" s="13" t="s">
        <v>559</v>
      </c>
      <c r="C49" s="13" t="s">
        <v>542</v>
      </c>
      <c r="D49" s="13" t="s">
        <v>560</v>
      </c>
      <c r="E49" s="14" t="str">
        <f ca="1">IFERROR(ycps("FXI","price"),"")</f>
        <v/>
      </c>
      <c r="F49" s="14" t="str">
        <f ca="1">IFERROR(ycps("FXI","one_year_return"),"")</f>
        <v/>
      </c>
      <c r="G49" s="14" t="str">
        <f ca="1">IFERROR(ycps("FXI","three_year_annualized_return"),"")</f>
        <v/>
      </c>
      <c r="H49" s="14" t="str">
        <f ca="1">IFERROR(ycps("FXI","five_year_annualized_return"),"")</f>
        <v/>
      </c>
      <c r="I49" s="14" t="str">
        <f ca="1">IFERROR(ycps("FXI","one_year_volatility"),"")</f>
        <v/>
      </c>
      <c r="J49" s="42">
        <f ca="1">IFERROR(IF(I49=0,0,(F49-'Data Input'!$B$4)/I49),0)</f>
        <v>0</v>
      </c>
      <c r="K49" s="14" t="str">
        <f ca="1">IFERROR(ycps("FXI","max_drawdown_3_year"),"")</f>
        <v/>
      </c>
      <c r="L49" s="14" t="str">
        <f ca="1">IFERROR(ycps("FXI","beta_5_year"),"")</f>
        <v/>
      </c>
      <c r="M49" s="14" t="str">
        <f ca="1">IFERROR(ycps("FXI","dividend_yield"),"")</f>
        <v/>
      </c>
      <c r="N49" s="14" t="str">
        <f ca="1">IFERROR(ycps("FXI","forward_pe_ratio"),"")</f>
        <v/>
      </c>
      <c r="O49" s="14" t="str">
        <f ca="1">IFERROR(ycps("FXI","one_month_return"),"")</f>
        <v/>
      </c>
      <c r="P49" s="14" t="str">
        <f ca="1">IFERROR(ycps("FXI","three_month_return"),"")</f>
        <v/>
      </c>
      <c r="Q49" s="14" t="str">
        <f ca="1">IFERROR(ycps("FXI","six_month_return"),"")</f>
        <v/>
      </c>
      <c r="R49" s="14" t="str">
        <f ca="1">IFERROR(ycps("FXI","one_year_return"),"")</f>
        <v/>
      </c>
      <c r="S49" s="43">
        <f t="shared" ref="S49:S80" ca="1" si="8">IFERROR(MIN(100,MAX(0,ROUND(50+(O49*0.4+P49*0.3+Q49*0.2+R49*0.1)*200,0))),0)</f>
        <v>0</v>
      </c>
      <c r="T49" s="43">
        <f t="shared" ref="T49:T80" ca="1" si="9">IFERROR(MIN(100,MAX(0,ROUND(50+R49*150+IF(F49&gt;0,15,0)+IF(L49&gt;0,5,-5),0))),0)</f>
        <v>0</v>
      </c>
      <c r="U49" s="43">
        <f t="shared" ref="U49:U80" ca="1" si="10">IFERROR(MIN(100,MAX(0,ROUND(50+O49*200+IF(AND(O49&gt;0,P49&gt;0),10,-5)+IF(I49&lt;0.2,10,-5),0))),0)</f>
        <v>0</v>
      </c>
      <c r="V49" s="43">
        <f t="shared" ref="V49:V80" ca="1" si="11">IFERROR(MIN(100,MAX(0,ROUND(30+IF(I49&gt;0,F49/I49,0)*40+IF(ABS(L49)&lt;0.5,15,0)+IF(F49&gt;0.08,10,0),0))),0)</f>
        <v>0</v>
      </c>
      <c r="W49" s="43">
        <f ca="1">IFERROR(ROUND(T49*'Data Input'!$B$29+U49*'Data Input'!$B$30+V49*'Data Input'!$B$31+S49*'Data Input'!$B$32,0),0)</f>
        <v>0</v>
      </c>
      <c r="X49" s="17" t="str">
        <f t="shared" ref="X49:X80" ca="1" si="12">IFERROR(IF(AND(W49&gt;=70,IF(T49&gt;=60,1,0)+IF(U49&gt;=60,1,0)+IF(V49&gt;=60,1,0)+IF(S49&gt;=60,1,0)&gt;=3),"STRONG BUY",IF(AND(W49&gt;=60,IF(T49&gt;=60,1,0)+IF(U49&gt;=60,1,0)+IF(V49&gt;=60,1,0)+IF(S49&gt;=60,1,0)&gt;=2),"BUY",IF(W49&lt;35,"STRONG SELL",IF(AND(W49&lt;45,IF(T49&gt;=60,1,0)+IF(U49&gt;=60,1,0)+IF(V49&gt;=60,1,0)+IF(S49&gt;=60,1,0)&lt;=1),"SELL","HOLD")))),"")</f>
        <v>STRONG SELL</v>
      </c>
      <c r="Y49" s="17" t="str">
        <f t="shared" ref="Y49:Y80" ca="1" si="13">IFERROR(IF(OR(X49="STRONG BUY",X49="STRONG SELL"),"HIGH",IF(OR(X49="BUY",X49="SELL"),"MEDIUM","NEUTRAL")),"")</f>
        <v>HIGH</v>
      </c>
      <c r="Z49" s="17" t="str">
        <f>IFERROR(IF(COUNTIF('Asset Analysis'!$A$4:$A$27,A49)&gt;0,"YES","NO"),"")</f>
        <v>NO</v>
      </c>
      <c r="AA49" s="17" t="str">
        <f t="shared" ref="AA49:AA80" ca="1" si="14">IFERROR(IF(AND(Z49="NO",W49&gt;=$B$7,J49&gt;=$B$5,S49&gt;=$B$6,I49&lt;=$B$8,F49&gt;=$B$9),"→ ADD TO PORTFOLIO",IF(AND(Z49="YES",OR(J49&lt;=$B$10,S49&lt;=$B$11,W49&lt;=$B$12,K49&lt;=-$B$13)),"→ DELETE FROM PORTFOLIO",IF(AND(Z49="YES",X49="HOLD"),"HOLD — MONITOR",IF(AND(Z49="YES",OR(X49="BUY",X49="STRONG BUY")),"HOLD — STRONG",IF(Z49="NO","NOT QUALIFIED","REVIEW"))))),"")</f>
        <v>NOT QUALIFIED</v>
      </c>
      <c r="AB49" s="17" t="str">
        <f t="shared" ref="AB49:AB80" ca="1" si="15">IFERROR(IF(AA49="→ ADD TO PORTFOLIO",IF(W49&gt;=70,"P1 — IMMEDIATE",IF(W49&gt;=60,"P2 — THIS WEEK","P3 — NEXT REBALANCE")),IF(AA49="→ DELETE FROM PORTFOLIO","P1 — IMMEDIATE","—")),"")</f>
        <v>—</v>
      </c>
      <c r="AC49" s="11"/>
      <c r="AD49" s="11"/>
    </row>
    <row r="50" spans="1:30" ht="15" customHeight="1" x14ac:dyDescent="0.3">
      <c r="A50" s="13" t="s">
        <v>117</v>
      </c>
      <c r="B50" s="13" t="s">
        <v>561</v>
      </c>
      <c r="C50" s="13" t="s">
        <v>562</v>
      </c>
      <c r="D50" s="13" t="s">
        <v>563</v>
      </c>
      <c r="E50" s="14" t="str">
        <f ca="1">IFERROR(ycps("AGG","price"),"")</f>
        <v/>
      </c>
      <c r="F50" s="14" t="str">
        <f ca="1">IFERROR(ycps("AGG","one_year_return"),"")</f>
        <v/>
      </c>
      <c r="G50" s="14" t="str">
        <f ca="1">IFERROR(ycps("AGG","three_year_annualized_return"),"")</f>
        <v/>
      </c>
      <c r="H50" s="14" t="str">
        <f ca="1">IFERROR(ycps("AGG","five_year_annualized_return"),"")</f>
        <v/>
      </c>
      <c r="I50" s="14" t="str">
        <f ca="1">IFERROR(ycps("AGG","one_year_volatility"),"")</f>
        <v/>
      </c>
      <c r="J50" s="42">
        <f ca="1">IFERROR(IF(I50=0,0,(F50-'Data Input'!$B$4)/I50),0)</f>
        <v>0</v>
      </c>
      <c r="K50" s="14" t="str">
        <f ca="1">IFERROR(ycps("AGG","max_drawdown_3_year"),"")</f>
        <v/>
      </c>
      <c r="L50" s="14" t="str">
        <f ca="1">IFERROR(ycps("AGG","beta_5_year"),"")</f>
        <v/>
      </c>
      <c r="M50" s="14" t="str">
        <f ca="1">IFERROR(ycps("AGG","dividend_yield"),"")</f>
        <v/>
      </c>
      <c r="N50" s="14" t="str">
        <f ca="1">IFERROR(ycps("AGG","forward_pe_ratio"),"")</f>
        <v/>
      </c>
      <c r="O50" s="14" t="str">
        <f ca="1">IFERROR(ycps("AGG","one_month_return"),"")</f>
        <v/>
      </c>
      <c r="P50" s="14" t="str">
        <f ca="1">IFERROR(ycps("AGG","three_month_return"),"")</f>
        <v/>
      </c>
      <c r="Q50" s="14" t="str">
        <f ca="1">IFERROR(ycps("AGG","six_month_return"),"")</f>
        <v/>
      </c>
      <c r="R50" s="14" t="str">
        <f ca="1">IFERROR(ycps("AGG","one_year_return"),"")</f>
        <v/>
      </c>
      <c r="S50" s="43">
        <f t="shared" ca="1" si="8"/>
        <v>0</v>
      </c>
      <c r="T50" s="43">
        <f t="shared" ca="1" si="9"/>
        <v>0</v>
      </c>
      <c r="U50" s="43">
        <f t="shared" ca="1" si="10"/>
        <v>0</v>
      </c>
      <c r="V50" s="43">
        <f t="shared" ca="1" si="11"/>
        <v>0</v>
      </c>
      <c r="W50" s="43">
        <f ca="1">IFERROR(ROUND(T50*'Data Input'!$B$29+U50*'Data Input'!$B$30+V50*'Data Input'!$B$31+S50*'Data Input'!$B$32,0),0)</f>
        <v>0</v>
      </c>
      <c r="X50" s="17" t="str">
        <f t="shared" ca="1" si="12"/>
        <v>STRONG SELL</v>
      </c>
      <c r="Y50" s="17" t="str">
        <f t="shared" ca="1" si="13"/>
        <v>HIGH</v>
      </c>
      <c r="Z50" s="17" t="str">
        <f>IFERROR(IF(COUNTIF('Asset Analysis'!$A$4:$A$27,A50)&gt;0,"YES","NO"),"")</f>
        <v>YES</v>
      </c>
      <c r="AA50" s="17" t="str">
        <f t="shared" ca="1" si="14"/>
        <v>→ DELETE FROM PORTFOLIO</v>
      </c>
      <c r="AB50" s="17" t="str">
        <f t="shared" ca="1" si="15"/>
        <v>P1 — IMMEDIATE</v>
      </c>
      <c r="AC50" s="11"/>
      <c r="AD50" s="11"/>
    </row>
    <row r="51" spans="1:30" ht="15" customHeight="1" x14ac:dyDescent="0.3">
      <c r="A51" s="13" t="s">
        <v>564</v>
      </c>
      <c r="B51" s="13" t="s">
        <v>565</v>
      </c>
      <c r="C51" s="13" t="s">
        <v>562</v>
      </c>
      <c r="D51" s="13" t="s">
        <v>563</v>
      </c>
      <c r="E51" s="14" t="str">
        <f ca="1">IFERROR(ycps("BND","price"),"")</f>
        <v/>
      </c>
      <c r="F51" s="14" t="str">
        <f ca="1">IFERROR(ycps("BND","one_year_return"),"")</f>
        <v/>
      </c>
      <c r="G51" s="14" t="str">
        <f ca="1">IFERROR(ycps("BND","three_year_annualized_return"),"")</f>
        <v/>
      </c>
      <c r="H51" s="14" t="str">
        <f ca="1">IFERROR(ycps("BND","five_year_annualized_return"),"")</f>
        <v/>
      </c>
      <c r="I51" s="14" t="str">
        <f ca="1">IFERROR(ycps("BND","one_year_volatility"),"")</f>
        <v/>
      </c>
      <c r="J51" s="42">
        <f ca="1">IFERROR(IF(I51=0,0,(F51-'Data Input'!$B$4)/I51),0)</f>
        <v>0</v>
      </c>
      <c r="K51" s="14" t="str">
        <f ca="1">IFERROR(ycps("BND","max_drawdown_3_year"),"")</f>
        <v/>
      </c>
      <c r="L51" s="14" t="str">
        <f ca="1">IFERROR(ycps("BND","beta_5_year"),"")</f>
        <v/>
      </c>
      <c r="M51" s="14" t="str">
        <f ca="1">IFERROR(ycps("BND","dividend_yield"),"")</f>
        <v/>
      </c>
      <c r="N51" s="14" t="str">
        <f ca="1">IFERROR(ycps("BND","forward_pe_ratio"),"")</f>
        <v/>
      </c>
      <c r="O51" s="14" t="str">
        <f ca="1">IFERROR(ycps("BND","one_month_return"),"")</f>
        <v/>
      </c>
      <c r="P51" s="14" t="str">
        <f ca="1">IFERROR(ycps("BND","three_month_return"),"")</f>
        <v/>
      </c>
      <c r="Q51" s="14" t="str">
        <f ca="1">IFERROR(ycps("BND","six_month_return"),"")</f>
        <v/>
      </c>
      <c r="R51" s="14" t="str">
        <f ca="1">IFERROR(ycps("BND","one_year_return"),"")</f>
        <v/>
      </c>
      <c r="S51" s="43">
        <f t="shared" ca="1" si="8"/>
        <v>0</v>
      </c>
      <c r="T51" s="43">
        <f t="shared" ca="1" si="9"/>
        <v>0</v>
      </c>
      <c r="U51" s="43">
        <f t="shared" ca="1" si="10"/>
        <v>0</v>
      </c>
      <c r="V51" s="43">
        <f t="shared" ca="1" si="11"/>
        <v>0</v>
      </c>
      <c r="W51" s="43">
        <f ca="1">IFERROR(ROUND(T51*'Data Input'!$B$29+U51*'Data Input'!$B$30+V51*'Data Input'!$B$31+S51*'Data Input'!$B$32,0),0)</f>
        <v>0</v>
      </c>
      <c r="X51" s="17" t="str">
        <f t="shared" ca="1" si="12"/>
        <v>STRONG SELL</v>
      </c>
      <c r="Y51" s="17" t="str">
        <f t="shared" ca="1" si="13"/>
        <v>HIGH</v>
      </c>
      <c r="Z51" s="17" t="str">
        <f>IFERROR(IF(COUNTIF('Asset Analysis'!$A$4:$A$27,A51)&gt;0,"YES","NO"),"")</f>
        <v>NO</v>
      </c>
      <c r="AA51" s="17" t="str">
        <f t="shared" ca="1" si="14"/>
        <v>NOT QUALIFIED</v>
      </c>
      <c r="AB51" s="17" t="str">
        <f t="shared" ca="1" si="15"/>
        <v>—</v>
      </c>
      <c r="AC51" s="11"/>
      <c r="AD51" s="11"/>
    </row>
    <row r="52" spans="1:30" ht="15" customHeight="1" x14ac:dyDescent="0.3">
      <c r="A52" s="13" t="s">
        <v>120</v>
      </c>
      <c r="B52" s="13" t="s">
        <v>566</v>
      </c>
      <c r="C52" s="13" t="s">
        <v>562</v>
      </c>
      <c r="D52" s="13" t="s">
        <v>421</v>
      </c>
      <c r="E52" s="14" t="str">
        <f ca="1">IFERROR(ycps("TLT","price"),"")</f>
        <v/>
      </c>
      <c r="F52" s="14" t="str">
        <f ca="1">IFERROR(ycps("TLT","one_year_return"),"")</f>
        <v/>
      </c>
      <c r="G52" s="14" t="str">
        <f ca="1">IFERROR(ycps("TLT","three_year_annualized_return"),"")</f>
        <v/>
      </c>
      <c r="H52" s="14" t="str">
        <f ca="1">IFERROR(ycps("TLT","five_year_annualized_return"),"")</f>
        <v/>
      </c>
      <c r="I52" s="14" t="str">
        <f ca="1">IFERROR(ycps("TLT","one_year_volatility"),"")</f>
        <v/>
      </c>
      <c r="J52" s="42">
        <f ca="1">IFERROR(IF(I52=0,0,(F52-'Data Input'!$B$4)/I52),0)</f>
        <v>0</v>
      </c>
      <c r="K52" s="14" t="str">
        <f ca="1">IFERROR(ycps("TLT","max_drawdown_3_year"),"")</f>
        <v/>
      </c>
      <c r="L52" s="14" t="str">
        <f ca="1">IFERROR(ycps("TLT","beta_5_year"),"")</f>
        <v/>
      </c>
      <c r="M52" s="14" t="str">
        <f ca="1">IFERROR(ycps("TLT","dividend_yield"),"")</f>
        <v/>
      </c>
      <c r="N52" s="14" t="str">
        <f ca="1">IFERROR(ycps("TLT","forward_pe_ratio"),"")</f>
        <v/>
      </c>
      <c r="O52" s="14" t="str">
        <f ca="1">IFERROR(ycps("TLT","one_month_return"),"")</f>
        <v/>
      </c>
      <c r="P52" s="14" t="str">
        <f ca="1">IFERROR(ycps("TLT","three_month_return"),"")</f>
        <v/>
      </c>
      <c r="Q52" s="14" t="str">
        <f ca="1">IFERROR(ycps("TLT","six_month_return"),"")</f>
        <v/>
      </c>
      <c r="R52" s="14" t="str">
        <f ca="1">IFERROR(ycps("TLT","one_year_return"),"")</f>
        <v/>
      </c>
      <c r="S52" s="43">
        <f t="shared" ca="1" si="8"/>
        <v>0</v>
      </c>
      <c r="T52" s="43">
        <f t="shared" ca="1" si="9"/>
        <v>0</v>
      </c>
      <c r="U52" s="43">
        <f t="shared" ca="1" si="10"/>
        <v>0</v>
      </c>
      <c r="V52" s="43">
        <f t="shared" ca="1" si="11"/>
        <v>0</v>
      </c>
      <c r="W52" s="43">
        <f ca="1">IFERROR(ROUND(T52*'Data Input'!$B$29+U52*'Data Input'!$B$30+V52*'Data Input'!$B$31+S52*'Data Input'!$B$32,0),0)</f>
        <v>0</v>
      </c>
      <c r="X52" s="17" t="str">
        <f t="shared" ca="1" si="12"/>
        <v>STRONG SELL</v>
      </c>
      <c r="Y52" s="17" t="str">
        <f t="shared" ca="1" si="13"/>
        <v>HIGH</v>
      </c>
      <c r="Z52" s="17" t="str">
        <f>IFERROR(IF(COUNTIF('Asset Analysis'!$A$4:$A$27,A52)&gt;0,"YES","NO"),"")</f>
        <v>YES</v>
      </c>
      <c r="AA52" s="17" t="str">
        <f t="shared" ca="1" si="14"/>
        <v>→ DELETE FROM PORTFOLIO</v>
      </c>
      <c r="AB52" s="17" t="str">
        <f t="shared" ca="1" si="15"/>
        <v>P1 — IMMEDIATE</v>
      </c>
      <c r="AC52" s="11"/>
      <c r="AD52" s="11"/>
    </row>
    <row r="53" spans="1:30" ht="15" customHeight="1" x14ac:dyDescent="0.3">
      <c r="A53" s="13" t="s">
        <v>567</v>
      </c>
      <c r="B53" s="13" t="s">
        <v>568</v>
      </c>
      <c r="C53" s="13" t="s">
        <v>562</v>
      </c>
      <c r="D53" s="13" t="s">
        <v>569</v>
      </c>
      <c r="E53" s="14" t="str">
        <f ca="1">IFERROR(ycps("IEF","price"),"")</f>
        <v/>
      </c>
      <c r="F53" s="14" t="str">
        <f ca="1">IFERROR(ycps("IEF","one_year_return"),"")</f>
        <v/>
      </c>
      <c r="G53" s="14" t="str">
        <f ca="1">IFERROR(ycps("IEF","three_year_annualized_return"),"")</f>
        <v/>
      </c>
      <c r="H53" s="14" t="str">
        <f ca="1">IFERROR(ycps("IEF","five_year_annualized_return"),"")</f>
        <v/>
      </c>
      <c r="I53" s="14" t="str">
        <f ca="1">IFERROR(ycps("IEF","one_year_volatility"),"")</f>
        <v/>
      </c>
      <c r="J53" s="42">
        <f ca="1">IFERROR(IF(I53=0,0,(F53-'Data Input'!$B$4)/I53),0)</f>
        <v>0</v>
      </c>
      <c r="K53" s="14" t="str">
        <f ca="1">IFERROR(ycps("IEF","max_drawdown_3_year"),"")</f>
        <v/>
      </c>
      <c r="L53" s="14" t="str">
        <f ca="1">IFERROR(ycps("IEF","beta_5_year"),"")</f>
        <v/>
      </c>
      <c r="M53" s="14" t="str">
        <f ca="1">IFERROR(ycps("IEF","dividend_yield"),"")</f>
        <v/>
      </c>
      <c r="N53" s="14" t="str">
        <f ca="1">IFERROR(ycps("IEF","forward_pe_ratio"),"")</f>
        <v/>
      </c>
      <c r="O53" s="14" t="str">
        <f ca="1">IFERROR(ycps("IEF","one_month_return"),"")</f>
        <v/>
      </c>
      <c r="P53" s="14" t="str">
        <f ca="1">IFERROR(ycps("IEF","three_month_return"),"")</f>
        <v/>
      </c>
      <c r="Q53" s="14" t="str">
        <f ca="1">IFERROR(ycps("IEF","six_month_return"),"")</f>
        <v/>
      </c>
      <c r="R53" s="14" t="str">
        <f ca="1">IFERROR(ycps("IEF","one_year_return"),"")</f>
        <v/>
      </c>
      <c r="S53" s="43">
        <f t="shared" ca="1" si="8"/>
        <v>0</v>
      </c>
      <c r="T53" s="43">
        <f t="shared" ca="1" si="9"/>
        <v>0</v>
      </c>
      <c r="U53" s="43">
        <f t="shared" ca="1" si="10"/>
        <v>0</v>
      </c>
      <c r="V53" s="43">
        <f t="shared" ca="1" si="11"/>
        <v>0</v>
      </c>
      <c r="W53" s="43">
        <f ca="1">IFERROR(ROUND(T53*'Data Input'!$B$29+U53*'Data Input'!$B$30+V53*'Data Input'!$B$31+S53*'Data Input'!$B$32,0),0)</f>
        <v>0</v>
      </c>
      <c r="X53" s="17" t="str">
        <f t="shared" ca="1" si="12"/>
        <v>STRONG SELL</v>
      </c>
      <c r="Y53" s="17" t="str">
        <f t="shared" ca="1" si="13"/>
        <v>HIGH</v>
      </c>
      <c r="Z53" s="17" t="str">
        <f>IFERROR(IF(COUNTIF('Asset Analysis'!$A$4:$A$27,A53)&gt;0,"YES","NO"),"")</f>
        <v>NO</v>
      </c>
      <c r="AA53" s="17" t="str">
        <f t="shared" ca="1" si="14"/>
        <v>NOT QUALIFIED</v>
      </c>
      <c r="AB53" s="17" t="str">
        <f t="shared" ca="1" si="15"/>
        <v>—</v>
      </c>
      <c r="AC53" s="11"/>
      <c r="AD53" s="11"/>
    </row>
    <row r="54" spans="1:30" ht="15" customHeight="1" x14ac:dyDescent="0.3">
      <c r="A54" s="13" t="s">
        <v>570</v>
      </c>
      <c r="B54" s="13" t="s">
        <v>571</v>
      </c>
      <c r="C54" s="13" t="s">
        <v>562</v>
      </c>
      <c r="D54" s="13" t="s">
        <v>572</v>
      </c>
      <c r="E54" s="14" t="str">
        <f ca="1">IFERROR(ycps("SHY","price"),"")</f>
        <v/>
      </c>
      <c r="F54" s="14" t="str">
        <f ca="1">IFERROR(ycps("SHY","one_year_return"),"")</f>
        <v/>
      </c>
      <c r="G54" s="14" t="str">
        <f ca="1">IFERROR(ycps("SHY","three_year_annualized_return"),"")</f>
        <v/>
      </c>
      <c r="H54" s="14" t="str">
        <f ca="1">IFERROR(ycps("SHY","five_year_annualized_return"),"")</f>
        <v/>
      </c>
      <c r="I54" s="14" t="str">
        <f ca="1">IFERROR(ycps("SHY","one_year_volatility"),"")</f>
        <v/>
      </c>
      <c r="J54" s="42">
        <f ca="1">IFERROR(IF(I54=0,0,(F54-'Data Input'!$B$4)/I54),0)</f>
        <v>0</v>
      </c>
      <c r="K54" s="14" t="str">
        <f ca="1">IFERROR(ycps("SHY","max_drawdown_3_year"),"")</f>
        <v/>
      </c>
      <c r="L54" s="14" t="str">
        <f ca="1">IFERROR(ycps("SHY","beta_5_year"),"")</f>
        <v/>
      </c>
      <c r="M54" s="14" t="str">
        <f ca="1">IFERROR(ycps("SHY","dividend_yield"),"")</f>
        <v/>
      </c>
      <c r="N54" s="14" t="str">
        <f ca="1">IFERROR(ycps("SHY","forward_pe_ratio"),"")</f>
        <v/>
      </c>
      <c r="O54" s="14" t="str">
        <f ca="1">IFERROR(ycps("SHY","one_month_return"),"")</f>
        <v/>
      </c>
      <c r="P54" s="14" t="str">
        <f ca="1">IFERROR(ycps("SHY","three_month_return"),"")</f>
        <v/>
      </c>
      <c r="Q54" s="14" t="str">
        <f ca="1">IFERROR(ycps("SHY","six_month_return"),"")</f>
        <v/>
      </c>
      <c r="R54" s="14" t="str">
        <f ca="1">IFERROR(ycps("SHY","one_year_return"),"")</f>
        <v/>
      </c>
      <c r="S54" s="43">
        <f t="shared" ca="1" si="8"/>
        <v>0</v>
      </c>
      <c r="T54" s="43">
        <f t="shared" ca="1" si="9"/>
        <v>0</v>
      </c>
      <c r="U54" s="43">
        <f t="shared" ca="1" si="10"/>
        <v>0</v>
      </c>
      <c r="V54" s="43">
        <f t="shared" ca="1" si="11"/>
        <v>0</v>
      </c>
      <c r="W54" s="43">
        <f ca="1">IFERROR(ROUND(T54*'Data Input'!$B$29+U54*'Data Input'!$B$30+V54*'Data Input'!$B$31+S54*'Data Input'!$B$32,0),0)</f>
        <v>0</v>
      </c>
      <c r="X54" s="17" t="str">
        <f t="shared" ca="1" si="12"/>
        <v>STRONG SELL</v>
      </c>
      <c r="Y54" s="17" t="str">
        <f t="shared" ca="1" si="13"/>
        <v>HIGH</v>
      </c>
      <c r="Z54" s="17" t="str">
        <f>IFERROR(IF(COUNTIF('Asset Analysis'!$A$4:$A$27,A54)&gt;0,"YES","NO"),"")</f>
        <v>NO</v>
      </c>
      <c r="AA54" s="17" t="str">
        <f t="shared" ca="1" si="14"/>
        <v>NOT QUALIFIED</v>
      </c>
      <c r="AB54" s="17" t="str">
        <f t="shared" ca="1" si="15"/>
        <v>—</v>
      </c>
      <c r="AC54" s="11"/>
      <c r="AD54" s="11"/>
    </row>
    <row r="55" spans="1:30" ht="15" customHeight="1" x14ac:dyDescent="0.3">
      <c r="A55" s="13" t="s">
        <v>573</v>
      </c>
      <c r="B55" s="13" t="s">
        <v>574</v>
      </c>
      <c r="C55" s="13" t="s">
        <v>562</v>
      </c>
      <c r="D55" s="13" t="s">
        <v>575</v>
      </c>
      <c r="E55" s="14" t="str">
        <f ca="1">IFERROR(ycps("VCIT","price"),"")</f>
        <v/>
      </c>
      <c r="F55" s="14" t="str">
        <f ca="1">IFERROR(ycps("VCIT","one_year_return"),"")</f>
        <v/>
      </c>
      <c r="G55" s="14" t="str">
        <f ca="1">IFERROR(ycps("VCIT","three_year_annualized_return"),"")</f>
        <v/>
      </c>
      <c r="H55" s="14" t="str">
        <f ca="1">IFERROR(ycps("VCIT","five_year_annualized_return"),"")</f>
        <v/>
      </c>
      <c r="I55" s="14" t="str">
        <f ca="1">IFERROR(ycps("VCIT","one_year_volatility"),"")</f>
        <v/>
      </c>
      <c r="J55" s="42">
        <f ca="1">IFERROR(IF(I55=0,0,(F55-'Data Input'!$B$4)/I55),0)</f>
        <v>0</v>
      </c>
      <c r="K55" s="14" t="str">
        <f ca="1">IFERROR(ycps("VCIT","max_drawdown_3_year"),"")</f>
        <v/>
      </c>
      <c r="L55" s="14" t="str">
        <f ca="1">IFERROR(ycps("VCIT","beta_5_year"),"")</f>
        <v/>
      </c>
      <c r="M55" s="14" t="str">
        <f ca="1">IFERROR(ycps("VCIT","dividend_yield"),"")</f>
        <v/>
      </c>
      <c r="N55" s="14" t="str">
        <f ca="1">IFERROR(ycps("VCIT","forward_pe_ratio"),"")</f>
        <v/>
      </c>
      <c r="O55" s="14" t="str">
        <f ca="1">IFERROR(ycps("VCIT","one_month_return"),"")</f>
        <v/>
      </c>
      <c r="P55" s="14" t="str">
        <f ca="1">IFERROR(ycps("VCIT","three_month_return"),"")</f>
        <v/>
      </c>
      <c r="Q55" s="14" t="str">
        <f ca="1">IFERROR(ycps("VCIT","six_month_return"),"")</f>
        <v/>
      </c>
      <c r="R55" s="14" t="str">
        <f ca="1">IFERROR(ycps("VCIT","one_year_return"),"")</f>
        <v/>
      </c>
      <c r="S55" s="43">
        <f t="shared" ca="1" si="8"/>
        <v>0</v>
      </c>
      <c r="T55" s="43">
        <f t="shared" ca="1" si="9"/>
        <v>0</v>
      </c>
      <c r="U55" s="43">
        <f t="shared" ca="1" si="10"/>
        <v>0</v>
      </c>
      <c r="V55" s="43">
        <f t="shared" ca="1" si="11"/>
        <v>0</v>
      </c>
      <c r="W55" s="43">
        <f ca="1">IFERROR(ROUND(T55*'Data Input'!$B$29+U55*'Data Input'!$B$30+V55*'Data Input'!$B$31+S55*'Data Input'!$B$32,0),0)</f>
        <v>0</v>
      </c>
      <c r="X55" s="17" t="str">
        <f t="shared" ca="1" si="12"/>
        <v>STRONG SELL</v>
      </c>
      <c r="Y55" s="17" t="str">
        <f t="shared" ca="1" si="13"/>
        <v>HIGH</v>
      </c>
      <c r="Z55" s="17" t="str">
        <f>IFERROR(IF(COUNTIF('Asset Analysis'!$A$4:$A$27,A55)&gt;0,"YES","NO"),"")</f>
        <v>NO</v>
      </c>
      <c r="AA55" s="17" t="str">
        <f t="shared" ca="1" si="14"/>
        <v>NOT QUALIFIED</v>
      </c>
      <c r="AB55" s="17" t="str">
        <f t="shared" ca="1" si="15"/>
        <v>—</v>
      </c>
      <c r="AC55" s="11"/>
      <c r="AD55" s="11"/>
    </row>
    <row r="56" spans="1:30" ht="15" customHeight="1" x14ac:dyDescent="0.3">
      <c r="A56" s="13" t="s">
        <v>576</v>
      </c>
      <c r="B56" s="13" t="s">
        <v>577</v>
      </c>
      <c r="C56" s="13" t="s">
        <v>562</v>
      </c>
      <c r="D56" s="13" t="s">
        <v>575</v>
      </c>
      <c r="E56" s="14" t="str">
        <f ca="1">IFERROR(ycps("LQD","price"),"")</f>
        <v/>
      </c>
      <c r="F56" s="14" t="str">
        <f ca="1">IFERROR(ycps("LQD","one_year_return"),"")</f>
        <v/>
      </c>
      <c r="G56" s="14" t="str">
        <f ca="1">IFERROR(ycps("LQD","three_year_annualized_return"),"")</f>
        <v/>
      </c>
      <c r="H56" s="14" t="str">
        <f ca="1">IFERROR(ycps("LQD","five_year_annualized_return"),"")</f>
        <v/>
      </c>
      <c r="I56" s="14" t="str">
        <f ca="1">IFERROR(ycps("LQD","one_year_volatility"),"")</f>
        <v/>
      </c>
      <c r="J56" s="42">
        <f ca="1">IFERROR(IF(I56=0,0,(F56-'Data Input'!$B$4)/I56),0)</f>
        <v>0</v>
      </c>
      <c r="K56" s="14" t="str">
        <f ca="1">IFERROR(ycps("LQD","max_drawdown_3_year"),"")</f>
        <v/>
      </c>
      <c r="L56" s="14" t="str">
        <f ca="1">IFERROR(ycps("LQD","beta_5_year"),"")</f>
        <v/>
      </c>
      <c r="M56" s="14" t="str">
        <f ca="1">IFERROR(ycps("LQD","dividend_yield"),"")</f>
        <v/>
      </c>
      <c r="N56" s="14" t="str">
        <f ca="1">IFERROR(ycps("LQD","forward_pe_ratio"),"")</f>
        <v/>
      </c>
      <c r="O56" s="14" t="str">
        <f ca="1">IFERROR(ycps("LQD","one_month_return"),"")</f>
        <v/>
      </c>
      <c r="P56" s="14" t="str">
        <f ca="1">IFERROR(ycps("LQD","three_month_return"),"")</f>
        <v/>
      </c>
      <c r="Q56" s="14" t="str">
        <f ca="1">IFERROR(ycps("LQD","six_month_return"),"")</f>
        <v/>
      </c>
      <c r="R56" s="14" t="str">
        <f ca="1">IFERROR(ycps("LQD","one_year_return"),"")</f>
        <v/>
      </c>
      <c r="S56" s="43">
        <f t="shared" ca="1" si="8"/>
        <v>0</v>
      </c>
      <c r="T56" s="43">
        <f t="shared" ca="1" si="9"/>
        <v>0</v>
      </c>
      <c r="U56" s="43">
        <f t="shared" ca="1" si="10"/>
        <v>0</v>
      </c>
      <c r="V56" s="43">
        <f t="shared" ca="1" si="11"/>
        <v>0</v>
      </c>
      <c r="W56" s="43">
        <f ca="1">IFERROR(ROUND(T56*'Data Input'!$B$29+U56*'Data Input'!$B$30+V56*'Data Input'!$B$31+S56*'Data Input'!$B$32,0),0)</f>
        <v>0</v>
      </c>
      <c r="X56" s="17" t="str">
        <f t="shared" ca="1" si="12"/>
        <v>STRONG SELL</v>
      </c>
      <c r="Y56" s="17" t="str">
        <f t="shared" ca="1" si="13"/>
        <v>HIGH</v>
      </c>
      <c r="Z56" s="17" t="str">
        <f>IFERROR(IF(COUNTIF('Asset Analysis'!$A$4:$A$27,A56)&gt;0,"YES","NO"),"")</f>
        <v>NO</v>
      </c>
      <c r="AA56" s="17" t="str">
        <f t="shared" ca="1" si="14"/>
        <v>NOT QUALIFIED</v>
      </c>
      <c r="AB56" s="17" t="str">
        <f t="shared" ca="1" si="15"/>
        <v>—</v>
      </c>
      <c r="AC56" s="11"/>
      <c r="AD56" s="11"/>
    </row>
    <row r="57" spans="1:30" ht="15" customHeight="1" x14ac:dyDescent="0.3">
      <c r="A57" s="13" t="s">
        <v>578</v>
      </c>
      <c r="B57" s="13" t="s">
        <v>579</v>
      </c>
      <c r="C57" s="13" t="s">
        <v>562</v>
      </c>
      <c r="D57" s="13" t="s">
        <v>580</v>
      </c>
      <c r="E57" s="14" t="str">
        <f ca="1">IFERROR(ycps("HYG","price"),"")</f>
        <v/>
      </c>
      <c r="F57" s="14" t="str">
        <f ca="1">IFERROR(ycps("HYG","one_year_return"),"")</f>
        <v/>
      </c>
      <c r="G57" s="14" t="str">
        <f ca="1">IFERROR(ycps("HYG","three_year_annualized_return"),"")</f>
        <v/>
      </c>
      <c r="H57" s="14" t="str">
        <f ca="1">IFERROR(ycps("HYG","five_year_annualized_return"),"")</f>
        <v/>
      </c>
      <c r="I57" s="14" t="str">
        <f ca="1">IFERROR(ycps("HYG","one_year_volatility"),"")</f>
        <v/>
      </c>
      <c r="J57" s="42">
        <f ca="1">IFERROR(IF(I57=0,0,(F57-'Data Input'!$B$4)/I57),0)</f>
        <v>0</v>
      </c>
      <c r="K57" s="14" t="str">
        <f ca="1">IFERROR(ycps("HYG","max_drawdown_3_year"),"")</f>
        <v/>
      </c>
      <c r="L57" s="14" t="str">
        <f ca="1">IFERROR(ycps("HYG","beta_5_year"),"")</f>
        <v/>
      </c>
      <c r="M57" s="14" t="str">
        <f ca="1">IFERROR(ycps("HYG","dividend_yield"),"")</f>
        <v/>
      </c>
      <c r="N57" s="14" t="str">
        <f ca="1">IFERROR(ycps("HYG","forward_pe_ratio"),"")</f>
        <v/>
      </c>
      <c r="O57" s="14" t="str">
        <f ca="1">IFERROR(ycps("HYG","one_month_return"),"")</f>
        <v/>
      </c>
      <c r="P57" s="14" t="str">
        <f ca="1">IFERROR(ycps("HYG","three_month_return"),"")</f>
        <v/>
      </c>
      <c r="Q57" s="14" t="str">
        <f ca="1">IFERROR(ycps("HYG","six_month_return"),"")</f>
        <v/>
      </c>
      <c r="R57" s="14" t="str">
        <f ca="1">IFERROR(ycps("HYG","one_year_return"),"")</f>
        <v/>
      </c>
      <c r="S57" s="43">
        <f t="shared" ca="1" si="8"/>
        <v>0</v>
      </c>
      <c r="T57" s="43">
        <f t="shared" ca="1" si="9"/>
        <v>0</v>
      </c>
      <c r="U57" s="43">
        <f t="shared" ca="1" si="10"/>
        <v>0</v>
      </c>
      <c r="V57" s="43">
        <f t="shared" ca="1" si="11"/>
        <v>0</v>
      </c>
      <c r="W57" s="43">
        <f ca="1">IFERROR(ROUND(T57*'Data Input'!$B$29+U57*'Data Input'!$B$30+V57*'Data Input'!$B$31+S57*'Data Input'!$B$32,0),0)</f>
        <v>0</v>
      </c>
      <c r="X57" s="17" t="str">
        <f t="shared" ca="1" si="12"/>
        <v>STRONG SELL</v>
      </c>
      <c r="Y57" s="17" t="str">
        <f t="shared" ca="1" si="13"/>
        <v>HIGH</v>
      </c>
      <c r="Z57" s="17" t="str">
        <f>IFERROR(IF(COUNTIF('Asset Analysis'!$A$4:$A$27,A57)&gt;0,"YES","NO"),"")</f>
        <v>NO</v>
      </c>
      <c r="AA57" s="17" t="str">
        <f t="shared" ca="1" si="14"/>
        <v>NOT QUALIFIED</v>
      </c>
      <c r="AB57" s="17" t="str">
        <f t="shared" ca="1" si="15"/>
        <v>—</v>
      </c>
      <c r="AC57" s="11"/>
      <c r="AD57" s="11"/>
    </row>
    <row r="58" spans="1:30" ht="15" customHeight="1" x14ac:dyDescent="0.3">
      <c r="A58" s="13" t="s">
        <v>581</v>
      </c>
      <c r="B58" s="13" t="s">
        <v>582</v>
      </c>
      <c r="C58" s="13" t="s">
        <v>562</v>
      </c>
      <c r="D58" s="13" t="s">
        <v>583</v>
      </c>
      <c r="E58" s="14" t="str">
        <f ca="1">IFERROR(ycps("TIP","price"),"")</f>
        <v/>
      </c>
      <c r="F58" s="14" t="str">
        <f ca="1">IFERROR(ycps("TIP","one_year_return"),"")</f>
        <v/>
      </c>
      <c r="G58" s="14" t="str">
        <f ca="1">IFERROR(ycps("TIP","three_year_annualized_return"),"")</f>
        <v/>
      </c>
      <c r="H58" s="14" t="str">
        <f ca="1">IFERROR(ycps("TIP","five_year_annualized_return"),"")</f>
        <v/>
      </c>
      <c r="I58" s="14" t="str">
        <f ca="1">IFERROR(ycps("TIP","one_year_volatility"),"")</f>
        <v/>
      </c>
      <c r="J58" s="42">
        <f ca="1">IFERROR(IF(I58=0,0,(F58-'Data Input'!$B$4)/I58),0)</f>
        <v>0</v>
      </c>
      <c r="K58" s="14" t="str">
        <f ca="1">IFERROR(ycps("TIP","max_drawdown_3_year"),"")</f>
        <v/>
      </c>
      <c r="L58" s="14" t="str">
        <f ca="1">IFERROR(ycps("TIP","beta_5_year"),"")</f>
        <v/>
      </c>
      <c r="M58" s="14" t="str">
        <f ca="1">IFERROR(ycps("TIP","dividend_yield"),"")</f>
        <v/>
      </c>
      <c r="N58" s="14" t="str">
        <f ca="1">IFERROR(ycps("TIP","forward_pe_ratio"),"")</f>
        <v/>
      </c>
      <c r="O58" s="14" t="str">
        <f ca="1">IFERROR(ycps("TIP","one_month_return"),"")</f>
        <v/>
      </c>
      <c r="P58" s="14" t="str">
        <f ca="1">IFERROR(ycps("TIP","three_month_return"),"")</f>
        <v/>
      </c>
      <c r="Q58" s="14" t="str">
        <f ca="1">IFERROR(ycps("TIP","six_month_return"),"")</f>
        <v/>
      </c>
      <c r="R58" s="14" t="str">
        <f ca="1">IFERROR(ycps("TIP","one_year_return"),"")</f>
        <v/>
      </c>
      <c r="S58" s="43">
        <f t="shared" ca="1" si="8"/>
        <v>0</v>
      </c>
      <c r="T58" s="43">
        <f t="shared" ca="1" si="9"/>
        <v>0</v>
      </c>
      <c r="U58" s="43">
        <f t="shared" ca="1" si="10"/>
        <v>0</v>
      </c>
      <c r="V58" s="43">
        <f t="shared" ca="1" si="11"/>
        <v>0</v>
      </c>
      <c r="W58" s="43">
        <f ca="1">IFERROR(ROUND(T58*'Data Input'!$B$29+U58*'Data Input'!$B$30+V58*'Data Input'!$B$31+S58*'Data Input'!$B$32,0),0)</f>
        <v>0</v>
      </c>
      <c r="X58" s="17" t="str">
        <f t="shared" ca="1" si="12"/>
        <v>STRONG SELL</v>
      </c>
      <c r="Y58" s="17" t="str">
        <f t="shared" ca="1" si="13"/>
        <v>HIGH</v>
      </c>
      <c r="Z58" s="17" t="str">
        <f>IFERROR(IF(COUNTIF('Asset Analysis'!$A$4:$A$27,A58)&gt;0,"YES","NO"),"")</f>
        <v>NO</v>
      </c>
      <c r="AA58" s="17" t="str">
        <f t="shared" ca="1" si="14"/>
        <v>NOT QUALIFIED</v>
      </c>
      <c r="AB58" s="17" t="str">
        <f t="shared" ca="1" si="15"/>
        <v>—</v>
      </c>
      <c r="AC58" s="11"/>
      <c r="AD58" s="11"/>
    </row>
    <row r="59" spans="1:30" ht="15" customHeight="1" x14ac:dyDescent="0.3">
      <c r="A59" s="13" t="s">
        <v>584</v>
      </c>
      <c r="B59" s="13" t="s">
        <v>585</v>
      </c>
      <c r="C59" s="13" t="s">
        <v>562</v>
      </c>
      <c r="D59" s="13" t="s">
        <v>586</v>
      </c>
      <c r="E59" s="14" t="str">
        <f ca="1">IFERROR(ycps("VGSH","price"),"")</f>
        <v/>
      </c>
      <c r="F59" s="14" t="str">
        <f ca="1">IFERROR(ycps("VGSH","one_year_return"),"")</f>
        <v/>
      </c>
      <c r="G59" s="14" t="str">
        <f ca="1">IFERROR(ycps("VGSH","three_year_annualized_return"),"")</f>
        <v/>
      </c>
      <c r="H59" s="14" t="str">
        <f ca="1">IFERROR(ycps("VGSH","five_year_annualized_return"),"")</f>
        <v/>
      </c>
      <c r="I59" s="14" t="str">
        <f ca="1">IFERROR(ycps("VGSH","one_year_volatility"),"")</f>
        <v/>
      </c>
      <c r="J59" s="42">
        <f ca="1">IFERROR(IF(I59=0,0,(F59-'Data Input'!$B$4)/I59),0)</f>
        <v>0</v>
      </c>
      <c r="K59" s="14" t="str">
        <f ca="1">IFERROR(ycps("VGSH","max_drawdown_3_year"),"")</f>
        <v/>
      </c>
      <c r="L59" s="14" t="str">
        <f ca="1">IFERROR(ycps("VGSH","beta_5_year"),"")</f>
        <v/>
      </c>
      <c r="M59" s="14" t="str">
        <f ca="1">IFERROR(ycps("VGSH","dividend_yield"),"")</f>
        <v/>
      </c>
      <c r="N59" s="14" t="str">
        <f ca="1">IFERROR(ycps("VGSH","forward_pe_ratio"),"")</f>
        <v/>
      </c>
      <c r="O59" s="14" t="str">
        <f ca="1">IFERROR(ycps("VGSH","one_month_return"),"")</f>
        <v/>
      </c>
      <c r="P59" s="14" t="str">
        <f ca="1">IFERROR(ycps("VGSH","three_month_return"),"")</f>
        <v/>
      </c>
      <c r="Q59" s="14" t="str">
        <f ca="1">IFERROR(ycps("VGSH","six_month_return"),"")</f>
        <v/>
      </c>
      <c r="R59" s="14" t="str">
        <f ca="1">IFERROR(ycps("VGSH","one_year_return"),"")</f>
        <v/>
      </c>
      <c r="S59" s="43">
        <f t="shared" ca="1" si="8"/>
        <v>0</v>
      </c>
      <c r="T59" s="43">
        <f t="shared" ca="1" si="9"/>
        <v>0</v>
      </c>
      <c r="U59" s="43">
        <f t="shared" ca="1" si="10"/>
        <v>0</v>
      </c>
      <c r="V59" s="43">
        <f t="shared" ca="1" si="11"/>
        <v>0</v>
      </c>
      <c r="W59" s="43">
        <f ca="1">IFERROR(ROUND(T59*'Data Input'!$B$29+U59*'Data Input'!$B$30+V59*'Data Input'!$B$31+S59*'Data Input'!$B$32,0),0)</f>
        <v>0</v>
      </c>
      <c r="X59" s="17" t="str">
        <f t="shared" ca="1" si="12"/>
        <v>STRONG SELL</v>
      </c>
      <c r="Y59" s="17" t="str">
        <f t="shared" ca="1" si="13"/>
        <v>HIGH</v>
      </c>
      <c r="Z59" s="17" t="str">
        <f>IFERROR(IF(COUNTIF('Asset Analysis'!$A$4:$A$27,A59)&gt;0,"YES","NO"),"")</f>
        <v>NO</v>
      </c>
      <c r="AA59" s="17" t="str">
        <f t="shared" ca="1" si="14"/>
        <v>NOT QUALIFIED</v>
      </c>
      <c r="AB59" s="17" t="str">
        <f t="shared" ca="1" si="15"/>
        <v>—</v>
      </c>
      <c r="AC59" s="11"/>
      <c r="AD59" s="11"/>
    </row>
    <row r="60" spans="1:30" ht="15" customHeight="1" x14ac:dyDescent="0.3">
      <c r="A60" s="13" t="s">
        <v>121</v>
      </c>
      <c r="B60" s="13" t="s">
        <v>587</v>
      </c>
      <c r="C60" s="13" t="s">
        <v>588</v>
      </c>
      <c r="D60" s="13" t="s">
        <v>589</v>
      </c>
      <c r="E60" s="14" t="str">
        <f ca="1">IFERROR(ycps("GLD","price"),"")</f>
        <v/>
      </c>
      <c r="F60" s="14" t="str">
        <f ca="1">IFERROR(ycps("GLD","one_year_return"),"")</f>
        <v/>
      </c>
      <c r="G60" s="14" t="str">
        <f ca="1">IFERROR(ycps("GLD","three_year_annualized_return"),"")</f>
        <v/>
      </c>
      <c r="H60" s="14" t="str">
        <f ca="1">IFERROR(ycps("GLD","five_year_annualized_return"),"")</f>
        <v/>
      </c>
      <c r="I60" s="14" t="str">
        <f ca="1">IFERROR(ycps("GLD","one_year_volatility"),"")</f>
        <v/>
      </c>
      <c r="J60" s="42">
        <f ca="1">IFERROR(IF(I60=0,0,(F60-'Data Input'!$B$4)/I60),0)</f>
        <v>0</v>
      </c>
      <c r="K60" s="14" t="str">
        <f ca="1">IFERROR(ycps("GLD","max_drawdown_3_year"),"")</f>
        <v/>
      </c>
      <c r="L60" s="14" t="str">
        <f ca="1">IFERROR(ycps("GLD","beta_5_year"),"")</f>
        <v/>
      </c>
      <c r="M60" s="14" t="str">
        <f ca="1">IFERROR(ycps("GLD","dividend_yield"),"")</f>
        <v/>
      </c>
      <c r="N60" s="14" t="str">
        <f ca="1">IFERROR(ycps("GLD","forward_pe_ratio"),"")</f>
        <v/>
      </c>
      <c r="O60" s="14" t="str">
        <f ca="1">IFERROR(ycps("GLD","one_month_return"),"")</f>
        <v/>
      </c>
      <c r="P60" s="14" t="str">
        <f ca="1">IFERROR(ycps("GLD","three_month_return"),"")</f>
        <v/>
      </c>
      <c r="Q60" s="14" t="str">
        <f ca="1">IFERROR(ycps("GLD","six_month_return"),"")</f>
        <v/>
      </c>
      <c r="R60" s="14" t="str">
        <f ca="1">IFERROR(ycps("GLD","one_year_return"),"")</f>
        <v/>
      </c>
      <c r="S60" s="43">
        <f t="shared" ca="1" si="8"/>
        <v>0</v>
      </c>
      <c r="T60" s="43">
        <f t="shared" ca="1" si="9"/>
        <v>0</v>
      </c>
      <c r="U60" s="43">
        <f t="shared" ca="1" si="10"/>
        <v>0</v>
      </c>
      <c r="V60" s="43">
        <f t="shared" ca="1" si="11"/>
        <v>0</v>
      </c>
      <c r="W60" s="43">
        <f ca="1">IFERROR(ROUND(T60*'Data Input'!$B$29+U60*'Data Input'!$B$30+V60*'Data Input'!$B$31+S60*'Data Input'!$B$32,0),0)</f>
        <v>0</v>
      </c>
      <c r="X60" s="17" t="str">
        <f t="shared" ca="1" si="12"/>
        <v>STRONG SELL</v>
      </c>
      <c r="Y60" s="17" t="str">
        <f t="shared" ca="1" si="13"/>
        <v>HIGH</v>
      </c>
      <c r="Z60" s="17" t="str">
        <f>IFERROR(IF(COUNTIF('Asset Analysis'!$A$4:$A$27,A60)&gt;0,"YES","NO"),"")</f>
        <v>YES</v>
      </c>
      <c r="AA60" s="17" t="str">
        <f t="shared" ca="1" si="14"/>
        <v>→ DELETE FROM PORTFOLIO</v>
      </c>
      <c r="AB60" s="17" t="str">
        <f t="shared" ca="1" si="15"/>
        <v>P1 — IMMEDIATE</v>
      </c>
      <c r="AC60" s="11"/>
      <c r="AD60" s="11"/>
    </row>
    <row r="61" spans="1:30" ht="15" customHeight="1" x14ac:dyDescent="0.3">
      <c r="A61" s="13" t="s">
        <v>590</v>
      </c>
      <c r="B61" s="13" t="s">
        <v>591</v>
      </c>
      <c r="C61" s="13" t="s">
        <v>588</v>
      </c>
      <c r="D61" s="13" t="s">
        <v>589</v>
      </c>
      <c r="E61" s="14" t="str">
        <f ca="1">IFERROR(ycps("IAU","price"),"")</f>
        <v/>
      </c>
      <c r="F61" s="14" t="str">
        <f ca="1">IFERROR(ycps("IAU","one_year_return"),"")</f>
        <v/>
      </c>
      <c r="G61" s="14" t="str">
        <f ca="1">IFERROR(ycps("IAU","three_year_annualized_return"),"")</f>
        <v/>
      </c>
      <c r="H61" s="14" t="str">
        <f ca="1">IFERROR(ycps("IAU","five_year_annualized_return"),"")</f>
        <v/>
      </c>
      <c r="I61" s="14" t="str">
        <f ca="1">IFERROR(ycps("IAU","one_year_volatility"),"")</f>
        <v/>
      </c>
      <c r="J61" s="42">
        <f ca="1">IFERROR(IF(I61=0,0,(F61-'Data Input'!$B$4)/I61),0)</f>
        <v>0</v>
      </c>
      <c r="K61" s="14" t="str">
        <f ca="1">IFERROR(ycps("IAU","max_drawdown_3_year"),"")</f>
        <v/>
      </c>
      <c r="L61" s="14" t="str">
        <f ca="1">IFERROR(ycps("IAU","beta_5_year"),"")</f>
        <v/>
      </c>
      <c r="M61" s="14" t="str">
        <f ca="1">IFERROR(ycps("IAU","dividend_yield"),"")</f>
        <v/>
      </c>
      <c r="N61" s="14" t="str">
        <f ca="1">IFERROR(ycps("IAU","forward_pe_ratio"),"")</f>
        <v/>
      </c>
      <c r="O61" s="14" t="str">
        <f ca="1">IFERROR(ycps("IAU","one_month_return"),"")</f>
        <v/>
      </c>
      <c r="P61" s="14" t="str">
        <f ca="1">IFERROR(ycps("IAU","three_month_return"),"")</f>
        <v/>
      </c>
      <c r="Q61" s="14" t="str">
        <f ca="1">IFERROR(ycps("IAU","six_month_return"),"")</f>
        <v/>
      </c>
      <c r="R61" s="14" t="str">
        <f ca="1">IFERROR(ycps("IAU","one_year_return"),"")</f>
        <v/>
      </c>
      <c r="S61" s="43">
        <f t="shared" ca="1" si="8"/>
        <v>0</v>
      </c>
      <c r="T61" s="43">
        <f t="shared" ca="1" si="9"/>
        <v>0</v>
      </c>
      <c r="U61" s="43">
        <f t="shared" ca="1" si="10"/>
        <v>0</v>
      </c>
      <c r="V61" s="43">
        <f t="shared" ca="1" si="11"/>
        <v>0</v>
      </c>
      <c r="W61" s="43">
        <f ca="1">IFERROR(ROUND(T61*'Data Input'!$B$29+U61*'Data Input'!$B$30+V61*'Data Input'!$B$31+S61*'Data Input'!$B$32,0),0)</f>
        <v>0</v>
      </c>
      <c r="X61" s="17" t="str">
        <f t="shared" ca="1" si="12"/>
        <v>STRONG SELL</v>
      </c>
      <c r="Y61" s="17" t="str">
        <f t="shared" ca="1" si="13"/>
        <v>HIGH</v>
      </c>
      <c r="Z61" s="17" t="str">
        <f>IFERROR(IF(COUNTIF('Asset Analysis'!$A$4:$A$27,A61)&gt;0,"YES","NO"),"")</f>
        <v>NO</v>
      </c>
      <c r="AA61" s="17" t="str">
        <f t="shared" ca="1" si="14"/>
        <v>NOT QUALIFIED</v>
      </c>
      <c r="AB61" s="17" t="str">
        <f t="shared" ca="1" si="15"/>
        <v>—</v>
      </c>
      <c r="AC61" s="11"/>
      <c r="AD61" s="11"/>
    </row>
    <row r="62" spans="1:30" ht="15" customHeight="1" x14ac:dyDescent="0.3">
      <c r="A62" s="13" t="s">
        <v>592</v>
      </c>
      <c r="B62" s="13" t="s">
        <v>593</v>
      </c>
      <c r="C62" s="13" t="s">
        <v>588</v>
      </c>
      <c r="D62" s="13" t="s">
        <v>594</v>
      </c>
      <c r="E62" s="14" t="str">
        <f ca="1">IFERROR(ycps("SLV","price"),"")</f>
        <v/>
      </c>
      <c r="F62" s="14" t="str">
        <f ca="1">IFERROR(ycps("SLV","one_year_return"),"")</f>
        <v/>
      </c>
      <c r="G62" s="14" t="str">
        <f ca="1">IFERROR(ycps("SLV","three_year_annualized_return"),"")</f>
        <v/>
      </c>
      <c r="H62" s="14" t="str">
        <f ca="1">IFERROR(ycps("SLV","five_year_annualized_return"),"")</f>
        <v/>
      </c>
      <c r="I62" s="14" t="str">
        <f ca="1">IFERROR(ycps("SLV","one_year_volatility"),"")</f>
        <v/>
      </c>
      <c r="J62" s="42">
        <f ca="1">IFERROR(IF(I62=0,0,(F62-'Data Input'!$B$4)/I62),0)</f>
        <v>0</v>
      </c>
      <c r="K62" s="14" t="str">
        <f ca="1">IFERROR(ycps("SLV","max_drawdown_3_year"),"")</f>
        <v/>
      </c>
      <c r="L62" s="14" t="str">
        <f ca="1">IFERROR(ycps("SLV","beta_5_year"),"")</f>
        <v/>
      </c>
      <c r="M62" s="14" t="str">
        <f ca="1">IFERROR(ycps("SLV","dividend_yield"),"")</f>
        <v/>
      </c>
      <c r="N62" s="14" t="str">
        <f ca="1">IFERROR(ycps("SLV","forward_pe_ratio"),"")</f>
        <v/>
      </c>
      <c r="O62" s="14" t="str">
        <f ca="1">IFERROR(ycps("SLV","one_month_return"),"")</f>
        <v/>
      </c>
      <c r="P62" s="14" t="str">
        <f ca="1">IFERROR(ycps("SLV","three_month_return"),"")</f>
        <v/>
      </c>
      <c r="Q62" s="14" t="str">
        <f ca="1">IFERROR(ycps("SLV","six_month_return"),"")</f>
        <v/>
      </c>
      <c r="R62" s="14" t="str">
        <f ca="1">IFERROR(ycps("SLV","one_year_return"),"")</f>
        <v/>
      </c>
      <c r="S62" s="43">
        <f t="shared" ca="1" si="8"/>
        <v>0</v>
      </c>
      <c r="T62" s="43">
        <f t="shared" ca="1" si="9"/>
        <v>0</v>
      </c>
      <c r="U62" s="43">
        <f t="shared" ca="1" si="10"/>
        <v>0</v>
      </c>
      <c r="V62" s="43">
        <f t="shared" ca="1" si="11"/>
        <v>0</v>
      </c>
      <c r="W62" s="43">
        <f ca="1">IFERROR(ROUND(T62*'Data Input'!$B$29+U62*'Data Input'!$B$30+V62*'Data Input'!$B$31+S62*'Data Input'!$B$32,0),0)</f>
        <v>0</v>
      </c>
      <c r="X62" s="17" t="str">
        <f t="shared" ca="1" si="12"/>
        <v>STRONG SELL</v>
      </c>
      <c r="Y62" s="17" t="str">
        <f t="shared" ca="1" si="13"/>
        <v>HIGH</v>
      </c>
      <c r="Z62" s="17" t="str">
        <f>IFERROR(IF(COUNTIF('Asset Analysis'!$A$4:$A$27,A62)&gt;0,"YES","NO"),"")</f>
        <v>NO</v>
      </c>
      <c r="AA62" s="17" t="str">
        <f t="shared" ca="1" si="14"/>
        <v>NOT QUALIFIED</v>
      </c>
      <c r="AB62" s="17" t="str">
        <f t="shared" ca="1" si="15"/>
        <v>—</v>
      </c>
      <c r="AC62" s="11"/>
      <c r="AD62" s="11"/>
    </row>
    <row r="63" spans="1:30" ht="15" customHeight="1" x14ac:dyDescent="0.3">
      <c r="A63" s="13" t="s">
        <v>595</v>
      </c>
      <c r="B63" s="13" t="s">
        <v>596</v>
      </c>
      <c r="C63" s="13" t="s">
        <v>588</v>
      </c>
      <c r="D63" s="13" t="s">
        <v>597</v>
      </c>
      <c r="E63" s="14" t="str">
        <f ca="1">IFERROR(ycps("GSG","price"),"")</f>
        <v/>
      </c>
      <c r="F63" s="14" t="str">
        <f ca="1">IFERROR(ycps("GSG","one_year_return"),"")</f>
        <v/>
      </c>
      <c r="G63" s="14" t="str">
        <f ca="1">IFERROR(ycps("GSG","three_year_annualized_return"),"")</f>
        <v/>
      </c>
      <c r="H63" s="14" t="str">
        <f ca="1">IFERROR(ycps("GSG","five_year_annualized_return"),"")</f>
        <v/>
      </c>
      <c r="I63" s="14" t="str">
        <f ca="1">IFERROR(ycps("GSG","one_year_volatility"),"")</f>
        <v/>
      </c>
      <c r="J63" s="42">
        <f ca="1">IFERROR(IF(I63=0,0,(F63-'Data Input'!$B$4)/I63),0)</f>
        <v>0</v>
      </c>
      <c r="K63" s="14" t="str">
        <f ca="1">IFERROR(ycps("GSG","max_drawdown_3_year"),"")</f>
        <v/>
      </c>
      <c r="L63" s="14" t="str">
        <f ca="1">IFERROR(ycps("GSG","beta_5_year"),"")</f>
        <v/>
      </c>
      <c r="M63" s="14" t="str">
        <f ca="1">IFERROR(ycps("GSG","dividend_yield"),"")</f>
        <v/>
      </c>
      <c r="N63" s="14" t="str">
        <f ca="1">IFERROR(ycps("GSG","forward_pe_ratio"),"")</f>
        <v/>
      </c>
      <c r="O63" s="14" t="str">
        <f ca="1">IFERROR(ycps("GSG","one_month_return"),"")</f>
        <v/>
      </c>
      <c r="P63" s="14" t="str">
        <f ca="1">IFERROR(ycps("GSG","three_month_return"),"")</f>
        <v/>
      </c>
      <c r="Q63" s="14" t="str">
        <f ca="1">IFERROR(ycps("GSG","six_month_return"),"")</f>
        <v/>
      </c>
      <c r="R63" s="14" t="str">
        <f ca="1">IFERROR(ycps("GSG","one_year_return"),"")</f>
        <v/>
      </c>
      <c r="S63" s="43">
        <f t="shared" ca="1" si="8"/>
        <v>0</v>
      </c>
      <c r="T63" s="43">
        <f t="shared" ca="1" si="9"/>
        <v>0</v>
      </c>
      <c r="U63" s="43">
        <f t="shared" ca="1" si="10"/>
        <v>0</v>
      </c>
      <c r="V63" s="43">
        <f t="shared" ca="1" si="11"/>
        <v>0</v>
      </c>
      <c r="W63" s="43">
        <f ca="1">IFERROR(ROUND(T63*'Data Input'!$B$29+U63*'Data Input'!$B$30+V63*'Data Input'!$B$31+S63*'Data Input'!$B$32,0),0)</f>
        <v>0</v>
      </c>
      <c r="X63" s="17" t="str">
        <f t="shared" ca="1" si="12"/>
        <v>STRONG SELL</v>
      </c>
      <c r="Y63" s="17" t="str">
        <f t="shared" ca="1" si="13"/>
        <v>HIGH</v>
      </c>
      <c r="Z63" s="17" t="str">
        <f>IFERROR(IF(COUNTIF('Asset Analysis'!$A$4:$A$27,A63)&gt;0,"YES","NO"),"")</f>
        <v>NO</v>
      </c>
      <c r="AA63" s="17" t="str">
        <f t="shared" ca="1" si="14"/>
        <v>NOT QUALIFIED</v>
      </c>
      <c r="AB63" s="17" t="str">
        <f t="shared" ca="1" si="15"/>
        <v>—</v>
      </c>
      <c r="AC63" s="11"/>
      <c r="AD63" s="11"/>
    </row>
    <row r="64" spans="1:30" ht="15" customHeight="1" x14ac:dyDescent="0.3">
      <c r="A64" s="13" t="s">
        <v>123</v>
      </c>
      <c r="B64" s="13" t="s">
        <v>598</v>
      </c>
      <c r="C64" s="13" t="s">
        <v>588</v>
      </c>
      <c r="D64" s="13" t="s">
        <v>422</v>
      </c>
      <c r="E64" s="14" t="str">
        <f ca="1">IFERROR(ycps("VNQ","price"),"")</f>
        <v/>
      </c>
      <c r="F64" s="14" t="str">
        <f ca="1">IFERROR(ycps("VNQ","one_year_return"),"")</f>
        <v/>
      </c>
      <c r="G64" s="14" t="str">
        <f ca="1">IFERROR(ycps("VNQ","three_year_annualized_return"),"")</f>
        <v/>
      </c>
      <c r="H64" s="14" t="str">
        <f ca="1">IFERROR(ycps("VNQ","five_year_annualized_return"),"")</f>
        <v/>
      </c>
      <c r="I64" s="14" t="str">
        <f ca="1">IFERROR(ycps("VNQ","one_year_volatility"),"")</f>
        <v/>
      </c>
      <c r="J64" s="42">
        <f ca="1">IFERROR(IF(I64=0,0,(F64-'Data Input'!$B$4)/I64),0)</f>
        <v>0</v>
      </c>
      <c r="K64" s="14" t="str">
        <f ca="1">IFERROR(ycps("VNQ","max_drawdown_3_year"),"")</f>
        <v/>
      </c>
      <c r="L64" s="14" t="str">
        <f ca="1">IFERROR(ycps("VNQ","beta_5_year"),"")</f>
        <v/>
      </c>
      <c r="M64" s="14" t="str">
        <f ca="1">IFERROR(ycps("VNQ","dividend_yield"),"")</f>
        <v/>
      </c>
      <c r="N64" s="14" t="str">
        <f ca="1">IFERROR(ycps("VNQ","forward_pe_ratio"),"")</f>
        <v/>
      </c>
      <c r="O64" s="14" t="str">
        <f ca="1">IFERROR(ycps("VNQ","one_month_return"),"")</f>
        <v/>
      </c>
      <c r="P64" s="14" t="str">
        <f ca="1">IFERROR(ycps("VNQ","three_month_return"),"")</f>
        <v/>
      </c>
      <c r="Q64" s="14" t="str">
        <f ca="1">IFERROR(ycps("VNQ","six_month_return"),"")</f>
        <v/>
      </c>
      <c r="R64" s="14" t="str">
        <f ca="1">IFERROR(ycps("VNQ","one_year_return"),"")</f>
        <v/>
      </c>
      <c r="S64" s="43">
        <f t="shared" ca="1" si="8"/>
        <v>0</v>
      </c>
      <c r="T64" s="43">
        <f t="shared" ca="1" si="9"/>
        <v>0</v>
      </c>
      <c r="U64" s="43">
        <f t="shared" ca="1" si="10"/>
        <v>0</v>
      </c>
      <c r="V64" s="43">
        <f t="shared" ca="1" si="11"/>
        <v>0</v>
      </c>
      <c r="W64" s="43">
        <f ca="1">IFERROR(ROUND(T64*'Data Input'!$B$29+U64*'Data Input'!$B$30+V64*'Data Input'!$B$31+S64*'Data Input'!$B$32,0),0)</f>
        <v>0</v>
      </c>
      <c r="X64" s="17" t="str">
        <f t="shared" ca="1" si="12"/>
        <v>STRONG SELL</v>
      </c>
      <c r="Y64" s="17" t="str">
        <f t="shared" ca="1" si="13"/>
        <v>HIGH</v>
      </c>
      <c r="Z64" s="17" t="str">
        <f>IFERROR(IF(COUNTIF('Asset Analysis'!$A$4:$A$27,A64)&gt;0,"YES","NO"),"")</f>
        <v>YES</v>
      </c>
      <c r="AA64" s="17" t="str">
        <f t="shared" ca="1" si="14"/>
        <v>→ DELETE FROM PORTFOLIO</v>
      </c>
      <c r="AB64" s="17" t="str">
        <f t="shared" ca="1" si="15"/>
        <v>P1 — IMMEDIATE</v>
      </c>
      <c r="AC64" s="11"/>
      <c r="AD64" s="11"/>
    </row>
    <row r="65" spans="1:30" ht="15" customHeight="1" x14ac:dyDescent="0.3">
      <c r="A65" s="13" t="s">
        <v>599</v>
      </c>
      <c r="B65" s="13" t="s">
        <v>600</v>
      </c>
      <c r="C65" s="13" t="s">
        <v>588</v>
      </c>
      <c r="D65" s="13" t="s">
        <v>601</v>
      </c>
      <c r="E65" s="14" t="str">
        <f ca="1">IFERROR(ycps("VNQI","price"),"")</f>
        <v/>
      </c>
      <c r="F65" s="14" t="str">
        <f ca="1">IFERROR(ycps("VNQI","one_year_return"),"")</f>
        <v/>
      </c>
      <c r="G65" s="14" t="str">
        <f ca="1">IFERROR(ycps("VNQI","three_year_annualized_return"),"")</f>
        <v/>
      </c>
      <c r="H65" s="14" t="str">
        <f ca="1">IFERROR(ycps("VNQI","five_year_annualized_return"),"")</f>
        <v/>
      </c>
      <c r="I65" s="14" t="str">
        <f ca="1">IFERROR(ycps("VNQI","one_year_volatility"),"")</f>
        <v/>
      </c>
      <c r="J65" s="42">
        <f ca="1">IFERROR(IF(I65=0,0,(F65-'Data Input'!$B$4)/I65),0)</f>
        <v>0</v>
      </c>
      <c r="K65" s="14" t="str">
        <f ca="1">IFERROR(ycps("VNQI","max_drawdown_3_year"),"")</f>
        <v/>
      </c>
      <c r="L65" s="14" t="str">
        <f ca="1">IFERROR(ycps("VNQI","beta_5_year"),"")</f>
        <v/>
      </c>
      <c r="M65" s="14" t="str">
        <f ca="1">IFERROR(ycps("VNQI","dividend_yield"),"")</f>
        <v/>
      </c>
      <c r="N65" s="14" t="str">
        <f ca="1">IFERROR(ycps("VNQI","forward_pe_ratio"),"")</f>
        <v/>
      </c>
      <c r="O65" s="14" t="str">
        <f ca="1">IFERROR(ycps("VNQI","one_month_return"),"")</f>
        <v/>
      </c>
      <c r="P65" s="14" t="str">
        <f ca="1">IFERROR(ycps("VNQI","three_month_return"),"")</f>
        <v/>
      </c>
      <c r="Q65" s="14" t="str">
        <f ca="1">IFERROR(ycps("VNQI","six_month_return"),"")</f>
        <v/>
      </c>
      <c r="R65" s="14" t="str">
        <f ca="1">IFERROR(ycps("VNQI","one_year_return"),"")</f>
        <v/>
      </c>
      <c r="S65" s="43">
        <f t="shared" ca="1" si="8"/>
        <v>0</v>
      </c>
      <c r="T65" s="43">
        <f t="shared" ca="1" si="9"/>
        <v>0</v>
      </c>
      <c r="U65" s="43">
        <f t="shared" ca="1" si="10"/>
        <v>0</v>
      </c>
      <c r="V65" s="43">
        <f t="shared" ca="1" si="11"/>
        <v>0</v>
      </c>
      <c r="W65" s="43">
        <f ca="1">IFERROR(ROUND(T65*'Data Input'!$B$29+U65*'Data Input'!$B$30+V65*'Data Input'!$B$31+S65*'Data Input'!$B$32,0),0)</f>
        <v>0</v>
      </c>
      <c r="X65" s="17" t="str">
        <f t="shared" ca="1" si="12"/>
        <v>STRONG SELL</v>
      </c>
      <c r="Y65" s="17" t="str">
        <f t="shared" ca="1" si="13"/>
        <v>HIGH</v>
      </c>
      <c r="Z65" s="17" t="str">
        <f>IFERROR(IF(COUNTIF('Asset Analysis'!$A$4:$A$27,A65)&gt;0,"YES","NO"),"")</f>
        <v>NO</v>
      </c>
      <c r="AA65" s="17" t="str">
        <f t="shared" ca="1" si="14"/>
        <v>NOT QUALIFIED</v>
      </c>
      <c r="AB65" s="17" t="str">
        <f t="shared" ca="1" si="15"/>
        <v>—</v>
      </c>
      <c r="AC65" s="11"/>
      <c r="AD65" s="11"/>
    </row>
    <row r="66" spans="1:30" ht="15" customHeight="1" x14ac:dyDescent="0.3">
      <c r="A66" s="13" t="s">
        <v>129</v>
      </c>
      <c r="B66" s="13" t="s">
        <v>602</v>
      </c>
      <c r="C66" s="13" t="s">
        <v>424</v>
      </c>
      <c r="D66" s="13" t="s">
        <v>223</v>
      </c>
      <c r="E66" s="14" t="str">
        <f ca="1">IFERROR(ycps("DBMF","price"),"")</f>
        <v/>
      </c>
      <c r="F66" s="14" t="str">
        <f ca="1">IFERROR(ycps("DBMF","one_year_return"),"")</f>
        <v/>
      </c>
      <c r="G66" s="14" t="str">
        <f ca="1">IFERROR(ycps("DBMF","three_year_annualized_return"),"")</f>
        <v/>
      </c>
      <c r="H66" s="14" t="str">
        <f ca="1">IFERROR(ycps("DBMF","five_year_annualized_return"),"")</f>
        <v/>
      </c>
      <c r="I66" s="14" t="str">
        <f ca="1">IFERROR(ycps("DBMF","one_year_volatility"),"")</f>
        <v/>
      </c>
      <c r="J66" s="42">
        <f ca="1">IFERROR(IF(I66=0,0,(F66-'Data Input'!$B$4)/I66),0)</f>
        <v>0</v>
      </c>
      <c r="K66" s="14" t="str">
        <f ca="1">IFERROR(ycps("DBMF","max_drawdown_3_year"),"")</f>
        <v/>
      </c>
      <c r="L66" s="14" t="str">
        <f ca="1">IFERROR(ycps("DBMF","beta_5_year"),"")</f>
        <v/>
      </c>
      <c r="M66" s="14" t="str">
        <f ca="1">IFERROR(ycps("DBMF","dividend_yield"),"")</f>
        <v/>
      </c>
      <c r="N66" s="14" t="str">
        <f ca="1">IFERROR(ycps("DBMF","forward_pe_ratio"),"")</f>
        <v/>
      </c>
      <c r="O66" s="14" t="str">
        <f ca="1">IFERROR(ycps("DBMF","one_month_return"),"")</f>
        <v/>
      </c>
      <c r="P66" s="14" t="str">
        <f ca="1">IFERROR(ycps("DBMF","three_month_return"),"")</f>
        <v/>
      </c>
      <c r="Q66" s="14" t="str">
        <f ca="1">IFERROR(ycps("DBMF","six_month_return"),"")</f>
        <v/>
      </c>
      <c r="R66" s="14" t="str">
        <f ca="1">IFERROR(ycps("DBMF","one_year_return"),"")</f>
        <v/>
      </c>
      <c r="S66" s="43">
        <f t="shared" ca="1" si="8"/>
        <v>0</v>
      </c>
      <c r="T66" s="43">
        <f t="shared" ca="1" si="9"/>
        <v>0</v>
      </c>
      <c r="U66" s="43">
        <f t="shared" ca="1" si="10"/>
        <v>0</v>
      </c>
      <c r="V66" s="43">
        <f t="shared" ca="1" si="11"/>
        <v>0</v>
      </c>
      <c r="W66" s="43">
        <f ca="1">IFERROR(ROUND(T66*'Data Input'!$B$29+U66*'Data Input'!$B$30+V66*'Data Input'!$B$31+S66*'Data Input'!$B$32,0),0)</f>
        <v>0</v>
      </c>
      <c r="X66" s="17" t="str">
        <f t="shared" ca="1" si="12"/>
        <v>STRONG SELL</v>
      </c>
      <c r="Y66" s="17" t="str">
        <f t="shared" ca="1" si="13"/>
        <v>HIGH</v>
      </c>
      <c r="Z66" s="17" t="str">
        <f>IFERROR(IF(COUNTIF('Asset Analysis'!$A$4:$A$27,A66)&gt;0,"YES","NO"),"")</f>
        <v>YES</v>
      </c>
      <c r="AA66" s="17" t="str">
        <f t="shared" ca="1" si="14"/>
        <v>→ DELETE FROM PORTFOLIO</v>
      </c>
      <c r="AB66" s="17" t="str">
        <f t="shared" ca="1" si="15"/>
        <v>P1 — IMMEDIATE</v>
      </c>
      <c r="AC66" s="11"/>
      <c r="AD66" s="11"/>
    </row>
    <row r="67" spans="1:30" ht="15" customHeight="1" x14ac:dyDescent="0.3">
      <c r="A67" s="13" t="s">
        <v>131</v>
      </c>
      <c r="B67" s="13" t="s">
        <v>603</v>
      </c>
      <c r="C67" s="13" t="s">
        <v>424</v>
      </c>
      <c r="D67" s="13" t="s">
        <v>223</v>
      </c>
      <c r="E67" s="14" t="str">
        <f ca="1">IFERROR(ycps("CTA","price"),"")</f>
        <v/>
      </c>
      <c r="F67" s="14" t="str">
        <f ca="1">IFERROR(ycps("CTA","one_year_return"),"")</f>
        <v/>
      </c>
      <c r="G67" s="14" t="str">
        <f ca="1">IFERROR(ycps("CTA","three_year_annualized_return"),"")</f>
        <v/>
      </c>
      <c r="H67" s="14" t="str">
        <f ca="1">IFERROR(ycps("CTA","five_year_annualized_return"),"")</f>
        <v/>
      </c>
      <c r="I67" s="14" t="str">
        <f ca="1">IFERROR(ycps("CTA","one_year_volatility"),"")</f>
        <v/>
      </c>
      <c r="J67" s="42">
        <f ca="1">IFERROR(IF(I67=0,0,(F67-'Data Input'!$B$4)/I67),0)</f>
        <v>0</v>
      </c>
      <c r="K67" s="14" t="str">
        <f ca="1">IFERROR(ycps("CTA","max_drawdown_3_year"),"")</f>
        <v/>
      </c>
      <c r="L67" s="14" t="str">
        <f ca="1">IFERROR(ycps("CTA","beta_5_year"),"")</f>
        <v/>
      </c>
      <c r="M67" s="14" t="str">
        <f ca="1">IFERROR(ycps("CTA","dividend_yield"),"")</f>
        <v/>
      </c>
      <c r="N67" s="14" t="str">
        <f ca="1">IFERROR(ycps("CTA","forward_pe_ratio"),"")</f>
        <v/>
      </c>
      <c r="O67" s="14" t="str">
        <f ca="1">IFERROR(ycps("CTA","one_month_return"),"")</f>
        <v/>
      </c>
      <c r="P67" s="14" t="str">
        <f ca="1">IFERROR(ycps("CTA","three_month_return"),"")</f>
        <v/>
      </c>
      <c r="Q67" s="14" t="str">
        <f ca="1">IFERROR(ycps("CTA","six_month_return"),"")</f>
        <v/>
      </c>
      <c r="R67" s="14" t="str">
        <f ca="1">IFERROR(ycps("CTA","one_year_return"),"")</f>
        <v/>
      </c>
      <c r="S67" s="43">
        <f t="shared" ca="1" si="8"/>
        <v>0</v>
      </c>
      <c r="T67" s="43">
        <f t="shared" ca="1" si="9"/>
        <v>0</v>
      </c>
      <c r="U67" s="43">
        <f t="shared" ca="1" si="10"/>
        <v>0</v>
      </c>
      <c r="V67" s="43">
        <f t="shared" ca="1" si="11"/>
        <v>0</v>
      </c>
      <c r="W67" s="43">
        <f ca="1">IFERROR(ROUND(T67*'Data Input'!$B$29+U67*'Data Input'!$B$30+V67*'Data Input'!$B$31+S67*'Data Input'!$B$32,0),0)</f>
        <v>0</v>
      </c>
      <c r="X67" s="17" t="str">
        <f t="shared" ca="1" si="12"/>
        <v>STRONG SELL</v>
      </c>
      <c r="Y67" s="17" t="str">
        <f t="shared" ca="1" si="13"/>
        <v>HIGH</v>
      </c>
      <c r="Z67" s="17" t="str">
        <f>IFERROR(IF(COUNTIF('Asset Analysis'!$A$4:$A$27,A67)&gt;0,"YES","NO"),"")</f>
        <v>YES</v>
      </c>
      <c r="AA67" s="17" t="str">
        <f t="shared" ca="1" si="14"/>
        <v>→ DELETE FROM PORTFOLIO</v>
      </c>
      <c r="AB67" s="17" t="str">
        <f t="shared" ca="1" si="15"/>
        <v>P1 — IMMEDIATE</v>
      </c>
      <c r="AC67" s="11"/>
      <c r="AD67" s="11"/>
    </row>
    <row r="68" spans="1:30" ht="15" customHeight="1" x14ac:dyDescent="0.3">
      <c r="A68" s="13" t="s">
        <v>132</v>
      </c>
      <c r="B68" s="13" t="s">
        <v>604</v>
      </c>
      <c r="C68" s="13" t="s">
        <v>424</v>
      </c>
      <c r="D68" s="13" t="s">
        <v>223</v>
      </c>
      <c r="E68" s="14" t="str">
        <f ca="1">IFERROR(ycps("KMLM","price"),"")</f>
        <v/>
      </c>
      <c r="F68" s="14" t="str">
        <f ca="1">IFERROR(ycps("KMLM","one_year_return"),"")</f>
        <v/>
      </c>
      <c r="G68" s="14" t="str">
        <f ca="1">IFERROR(ycps("KMLM","three_year_annualized_return"),"")</f>
        <v/>
      </c>
      <c r="H68" s="14" t="str">
        <f ca="1">IFERROR(ycps("KMLM","five_year_annualized_return"),"")</f>
        <v/>
      </c>
      <c r="I68" s="14" t="str">
        <f ca="1">IFERROR(ycps("KMLM","one_year_volatility"),"")</f>
        <v/>
      </c>
      <c r="J68" s="42">
        <f ca="1">IFERROR(IF(I68=0,0,(F68-'Data Input'!$B$4)/I68),0)</f>
        <v>0</v>
      </c>
      <c r="K68" s="14" t="str">
        <f ca="1">IFERROR(ycps("KMLM","max_drawdown_3_year"),"")</f>
        <v/>
      </c>
      <c r="L68" s="14" t="str">
        <f ca="1">IFERROR(ycps("KMLM","beta_5_year"),"")</f>
        <v/>
      </c>
      <c r="M68" s="14" t="str">
        <f ca="1">IFERROR(ycps("KMLM","dividend_yield"),"")</f>
        <v/>
      </c>
      <c r="N68" s="14" t="str">
        <f ca="1">IFERROR(ycps("KMLM","forward_pe_ratio"),"")</f>
        <v/>
      </c>
      <c r="O68" s="14" t="str">
        <f ca="1">IFERROR(ycps("KMLM","one_month_return"),"")</f>
        <v/>
      </c>
      <c r="P68" s="14" t="str">
        <f ca="1">IFERROR(ycps("KMLM","three_month_return"),"")</f>
        <v/>
      </c>
      <c r="Q68" s="14" t="str">
        <f ca="1">IFERROR(ycps("KMLM","six_month_return"),"")</f>
        <v/>
      </c>
      <c r="R68" s="14" t="str">
        <f ca="1">IFERROR(ycps("KMLM","one_year_return"),"")</f>
        <v/>
      </c>
      <c r="S68" s="43">
        <f t="shared" ca="1" si="8"/>
        <v>0</v>
      </c>
      <c r="T68" s="43">
        <f t="shared" ca="1" si="9"/>
        <v>0</v>
      </c>
      <c r="U68" s="43">
        <f t="shared" ca="1" si="10"/>
        <v>0</v>
      </c>
      <c r="V68" s="43">
        <f t="shared" ca="1" si="11"/>
        <v>0</v>
      </c>
      <c r="W68" s="43">
        <f ca="1">IFERROR(ROUND(T68*'Data Input'!$B$29+U68*'Data Input'!$B$30+V68*'Data Input'!$B$31+S68*'Data Input'!$B$32,0),0)</f>
        <v>0</v>
      </c>
      <c r="X68" s="17" t="str">
        <f t="shared" ca="1" si="12"/>
        <v>STRONG SELL</v>
      </c>
      <c r="Y68" s="17" t="str">
        <f t="shared" ca="1" si="13"/>
        <v>HIGH</v>
      </c>
      <c r="Z68" s="17" t="str">
        <f>IFERROR(IF(COUNTIF('Asset Analysis'!$A$4:$A$27,A68)&gt;0,"YES","NO"),"")</f>
        <v>YES</v>
      </c>
      <c r="AA68" s="17" t="str">
        <f t="shared" ca="1" si="14"/>
        <v>→ DELETE FROM PORTFOLIO</v>
      </c>
      <c r="AB68" s="17" t="str">
        <f t="shared" ca="1" si="15"/>
        <v>P1 — IMMEDIATE</v>
      </c>
      <c r="AC68" s="11"/>
      <c r="AD68" s="11"/>
    </row>
    <row r="69" spans="1:30" ht="15" customHeight="1" x14ac:dyDescent="0.3">
      <c r="A69" s="13" t="s">
        <v>605</v>
      </c>
      <c r="B69" s="13" t="s">
        <v>606</v>
      </c>
      <c r="C69" s="13" t="s">
        <v>424</v>
      </c>
      <c r="D69" s="13" t="s">
        <v>607</v>
      </c>
      <c r="E69" s="14" t="str">
        <f ca="1">IFERROR(ycps("RSST","price"),"")</f>
        <v/>
      </c>
      <c r="F69" s="14" t="str">
        <f ca="1">IFERROR(ycps("RSST","one_year_return"),"")</f>
        <v/>
      </c>
      <c r="G69" s="14" t="str">
        <f ca="1">IFERROR(ycps("RSST","three_year_annualized_return"),"")</f>
        <v/>
      </c>
      <c r="H69" s="14" t="str">
        <f ca="1">IFERROR(ycps("RSST","five_year_annualized_return"),"")</f>
        <v/>
      </c>
      <c r="I69" s="14" t="str">
        <f ca="1">IFERROR(ycps("RSST","one_year_volatility"),"")</f>
        <v/>
      </c>
      <c r="J69" s="42">
        <f ca="1">IFERROR(IF(I69=0,0,(F69-'Data Input'!$B$4)/I69),0)</f>
        <v>0</v>
      </c>
      <c r="K69" s="14" t="str">
        <f ca="1">IFERROR(ycps("RSST","max_drawdown_3_year"),"")</f>
        <v/>
      </c>
      <c r="L69" s="14" t="str">
        <f ca="1">IFERROR(ycps("RSST","beta_5_year"),"")</f>
        <v/>
      </c>
      <c r="M69" s="14" t="str">
        <f ca="1">IFERROR(ycps("RSST","dividend_yield"),"")</f>
        <v/>
      </c>
      <c r="N69" s="14" t="str">
        <f ca="1">IFERROR(ycps("RSST","forward_pe_ratio"),"")</f>
        <v/>
      </c>
      <c r="O69" s="14" t="str">
        <f ca="1">IFERROR(ycps("RSST","one_month_return"),"")</f>
        <v/>
      </c>
      <c r="P69" s="14" t="str">
        <f ca="1">IFERROR(ycps("RSST","three_month_return"),"")</f>
        <v/>
      </c>
      <c r="Q69" s="14" t="str">
        <f ca="1">IFERROR(ycps("RSST","six_month_return"),"")</f>
        <v/>
      </c>
      <c r="R69" s="14" t="str">
        <f ca="1">IFERROR(ycps("RSST","one_year_return"),"")</f>
        <v/>
      </c>
      <c r="S69" s="43">
        <f t="shared" ca="1" si="8"/>
        <v>0</v>
      </c>
      <c r="T69" s="43">
        <f t="shared" ca="1" si="9"/>
        <v>0</v>
      </c>
      <c r="U69" s="43">
        <f t="shared" ca="1" si="10"/>
        <v>0</v>
      </c>
      <c r="V69" s="43">
        <f t="shared" ca="1" si="11"/>
        <v>0</v>
      </c>
      <c r="W69" s="43">
        <f ca="1">IFERROR(ROUND(T69*'Data Input'!$B$29+U69*'Data Input'!$B$30+V69*'Data Input'!$B$31+S69*'Data Input'!$B$32,0),0)</f>
        <v>0</v>
      </c>
      <c r="X69" s="17" t="str">
        <f t="shared" ca="1" si="12"/>
        <v>STRONG SELL</v>
      </c>
      <c r="Y69" s="17" t="str">
        <f t="shared" ca="1" si="13"/>
        <v>HIGH</v>
      </c>
      <c r="Z69" s="17" t="str">
        <f>IFERROR(IF(COUNTIF('Asset Analysis'!$A$4:$A$27,A69)&gt;0,"YES","NO"),"")</f>
        <v>NO</v>
      </c>
      <c r="AA69" s="17" t="str">
        <f t="shared" ca="1" si="14"/>
        <v>NOT QUALIFIED</v>
      </c>
      <c r="AB69" s="17" t="str">
        <f t="shared" ca="1" si="15"/>
        <v>—</v>
      </c>
      <c r="AC69" s="11"/>
      <c r="AD69" s="11"/>
    </row>
    <row r="70" spans="1:30" ht="15" customHeight="1" x14ac:dyDescent="0.3">
      <c r="A70" s="13" t="s">
        <v>133</v>
      </c>
      <c r="B70" s="13" t="s">
        <v>608</v>
      </c>
      <c r="C70" s="13" t="s">
        <v>134</v>
      </c>
      <c r="D70" s="13" t="s">
        <v>609</v>
      </c>
      <c r="E70" s="14" t="str">
        <f ca="1">IFERROR(ycps("BTAL","price"),"")</f>
        <v/>
      </c>
      <c r="F70" s="14" t="str">
        <f ca="1">IFERROR(ycps("BTAL","one_year_return"),"")</f>
        <v/>
      </c>
      <c r="G70" s="14" t="str">
        <f ca="1">IFERROR(ycps("BTAL","three_year_annualized_return"),"")</f>
        <v/>
      </c>
      <c r="H70" s="14" t="str">
        <f ca="1">IFERROR(ycps("BTAL","five_year_annualized_return"),"")</f>
        <v/>
      </c>
      <c r="I70" s="14" t="str">
        <f ca="1">IFERROR(ycps("BTAL","one_year_volatility"),"")</f>
        <v/>
      </c>
      <c r="J70" s="42">
        <f ca="1">IFERROR(IF(I70=0,0,(F70-'Data Input'!$B$4)/I70),0)</f>
        <v>0</v>
      </c>
      <c r="K70" s="14" t="str">
        <f ca="1">IFERROR(ycps("BTAL","max_drawdown_3_year"),"")</f>
        <v/>
      </c>
      <c r="L70" s="14" t="str">
        <f ca="1">IFERROR(ycps("BTAL","beta_5_year"),"")</f>
        <v/>
      </c>
      <c r="M70" s="14" t="str">
        <f ca="1">IFERROR(ycps("BTAL","dividend_yield"),"")</f>
        <v/>
      </c>
      <c r="N70" s="14" t="str">
        <f ca="1">IFERROR(ycps("BTAL","forward_pe_ratio"),"")</f>
        <v/>
      </c>
      <c r="O70" s="14" t="str">
        <f ca="1">IFERROR(ycps("BTAL","one_month_return"),"")</f>
        <v/>
      </c>
      <c r="P70" s="14" t="str">
        <f ca="1">IFERROR(ycps("BTAL","three_month_return"),"")</f>
        <v/>
      </c>
      <c r="Q70" s="14" t="str">
        <f ca="1">IFERROR(ycps("BTAL","six_month_return"),"")</f>
        <v/>
      </c>
      <c r="R70" s="14" t="str">
        <f ca="1">IFERROR(ycps("BTAL","one_year_return"),"")</f>
        <v/>
      </c>
      <c r="S70" s="43">
        <f t="shared" ca="1" si="8"/>
        <v>0</v>
      </c>
      <c r="T70" s="43">
        <f t="shared" ca="1" si="9"/>
        <v>0</v>
      </c>
      <c r="U70" s="43">
        <f t="shared" ca="1" si="10"/>
        <v>0</v>
      </c>
      <c r="V70" s="43">
        <f t="shared" ca="1" si="11"/>
        <v>0</v>
      </c>
      <c r="W70" s="43">
        <f ca="1">IFERROR(ROUND(T70*'Data Input'!$B$29+U70*'Data Input'!$B$30+V70*'Data Input'!$B$31+S70*'Data Input'!$B$32,0),0)</f>
        <v>0</v>
      </c>
      <c r="X70" s="17" t="str">
        <f t="shared" ca="1" si="12"/>
        <v>STRONG SELL</v>
      </c>
      <c r="Y70" s="17" t="str">
        <f t="shared" ca="1" si="13"/>
        <v>HIGH</v>
      </c>
      <c r="Z70" s="17" t="str">
        <f>IFERROR(IF(COUNTIF('Asset Analysis'!$A$4:$A$27,A70)&gt;0,"YES","NO"),"")</f>
        <v>YES</v>
      </c>
      <c r="AA70" s="17" t="str">
        <f t="shared" ca="1" si="14"/>
        <v>→ DELETE FROM PORTFOLIO</v>
      </c>
      <c r="AB70" s="17" t="str">
        <f t="shared" ca="1" si="15"/>
        <v>P1 — IMMEDIATE</v>
      </c>
      <c r="AC70" s="11"/>
      <c r="AD70" s="11"/>
    </row>
    <row r="71" spans="1:30" ht="15" customHeight="1" x14ac:dyDescent="0.3">
      <c r="A71" s="13" t="s">
        <v>135</v>
      </c>
      <c r="B71" s="13" t="s">
        <v>610</v>
      </c>
      <c r="C71" s="13" t="s">
        <v>134</v>
      </c>
      <c r="D71" s="13" t="s">
        <v>611</v>
      </c>
      <c r="E71" s="14" t="str">
        <f ca="1">IFERROR(ycps("TAIL","price"),"")</f>
        <v/>
      </c>
      <c r="F71" s="14" t="str">
        <f ca="1">IFERROR(ycps("TAIL","one_year_return"),"")</f>
        <v/>
      </c>
      <c r="G71" s="14" t="str">
        <f ca="1">IFERROR(ycps("TAIL","three_year_annualized_return"),"")</f>
        <v/>
      </c>
      <c r="H71" s="14" t="str">
        <f ca="1">IFERROR(ycps("TAIL","five_year_annualized_return"),"")</f>
        <v/>
      </c>
      <c r="I71" s="14" t="str">
        <f ca="1">IFERROR(ycps("TAIL","one_year_volatility"),"")</f>
        <v/>
      </c>
      <c r="J71" s="42">
        <f ca="1">IFERROR(IF(I71=0,0,(F71-'Data Input'!$B$4)/I71),0)</f>
        <v>0</v>
      </c>
      <c r="K71" s="14" t="str">
        <f ca="1">IFERROR(ycps("TAIL","max_drawdown_3_year"),"")</f>
        <v/>
      </c>
      <c r="L71" s="14" t="str">
        <f ca="1">IFERROR(ycps("TAIL","beta_5_year"),"")</f>
        <v/>
      </c>
      <c r="M71" s="14" t="str">
        <f ca="1">IFERROR(ycps("TAIL","dividend_yield"),"")</f>
        <v/>
      </c>
      <c r="N71" s="14" t="str">
        <f ca="1">IFERROR(ycps("TAIL","forward_pe_ratio"),"")</f>
        <v/>
      </c>
      <c r="O71" s="14" t="str">
        <f ca="1">IFERROR(ycps("TAIL","one_month_return"),"")</f>
        <v/>
      </c>
      <c r="P71" s="14" t="str">
        <f ca="1">IFERROR(ycps("TAIL","three_month_return"),"")</f>
        <v/>
      </c>
      <c r="Q71" s="14" t="str">
        <f ca="1">IFERROR(ycps("TAIL","six_month_return"),"")</f>
        <v/>
      </c>
      <c r="R71" s="14" t="str">
        <f ca="1">IFERROR(ycps("TAIL","one_year_return"),"")</f>
        <v/>
      </c>
      <c r="S71" s="43">
        <f t="shared" ca="1" si="8"/>
        <v>0</v>
      </c>
      <c r="T71" s="43">
        <f t="shared" ca="1" si="9"/>
        <v>0</v>
      </c>
      <c r="U71" s="43">
        <f t="shared" ca="1" si="10"/>
        <v>0</v>
      </c>
      <c r="V71" s="43">
        <f t="shared" ca="1" si="11"/>
        <v>0</v>
      </c>
      <c r="W71" s="43">
        <f ca="1">IFERROR(ROUND(T71*'Data Input'!$B$29+U71*'Data Input'!$B$30+V71*'Data Input'!$B$31+S71*'Data Input'!$B$32,0),0)</f>
        <v>0</v>
      </c>
      <c r="X71" s="17" t="str">
        <f t="shared" ca="1" si="12"/>
        <v>STRONG SELL</v>
      </c>
      <c r="Y71" s="17" t="str">
        <f t="shared" ca="1" si="13"/>
        <v>HIGH</v>
      </c>
      <c r="Z71" s="17" t="str">
        <f>IFERROR(IF(COUNTIF('Asset Analysis'!$A$4:$A$27,A71)&gt;0,"YES","NO"),"")</f>
        <v>YES</v>
      </c>
      <c r="AA71" s="17" t="str">
        <f t="shared" ca="1" si="14"/>
        <v>→ DELETE FROM PORTFOLIO</v>
      </c>
      <c r="AB71" s="17" t="str">
        <f t="shared" ca="1" si="15"/>
        <v>P1 — IMMEDIATE</v>
      </c>
      <c r="AC71" s="11"/>
      <c r="AD71" s="11"/>
    </row>
    <row r="72" spans="1:30" ht="15" customHeight="1" x14ac:dyDescent="0.3">
      <c r="A72" s="13" t="s">
        <v>612</v>
      </c>
      <c r="B72" s="13" t="s">
        <v>613</v>
      </c>
      <c r="C72" s="13" t="s">
        <v>134</v>
      </c>
      <c r="D72" s="13" t="s">
        <v>611</v>
      </c>
      <c r="E72" s="14" t="str">
        <f ca="1">IFERROR(ycps("CAOS","price"),"")</f>
        <v/>
      </c>
      <c r="F72" s="14" t="str">
        <f ca="1">IFERROR(ycps("CAOS","one_year_return"),"")</f>
        <v/>
      </c>
      <c r="G72" s="14" t="str">
        <f ca="1">IFERROR(ycps("CAOS","three_year_annualized_return"),"")</f>
        <v/>
      </c>
      <c r="H72" s="14" t="str">
        <f ca="1">IFERROR(ycps("CAOS","five_year_annualized_return"),"")</f>
        <v/>
      </c>
      <c r="I72" s="14" t="str">
        <f ca="1">IFERROR(ycps("CAOS","one_year_volatility"),"")</f>
        <v/>
      </c>
      <c r="J72" s="42">
        <f ca="1">IFERROR(IF(I72=0,0,(F72-'Data Input'!$B$4)/I72),0)</f>
        <v>0</v>
      </c>
      <c r="K72" s="14" t="str">
        <f ca="1">IFERROR(ycps("CAOS","max_drawdown_3_year"),"")</f>
        <v/>
      </c>
      <c r="L72" s="14" t="str">
        <f ca="1">IFERROR(ycps("CAOS","beta_5_year"),"")</f>
        <v/>
      </c>
      <c r="M72" s="14" t="str">
        <f ca="1">IFERROR(ycps("CAOS","dividend_yield"),"")</f>
        <v/>
      </c>
      <c r="N72" s="14" t="str">
        <f ca="1">IFERROR(ycps("CAOS","forward_pe_ratio"),"")</f>
        <v/>
      </c>
      <c r="O72" s="14" t="str">
        <f ca="1">IFERROR(ycps("CAOS","one_month_return"),"")</f>
        <v/>
      </c>
      <c r="P72" s="14" t="str">
        <f ca="1">IFERROR(ycps("CAOS","three_month_return"),"")</f>
        <v/>
      </c>
      <c r="Q72" s="14" t="str">
        <f ca="1">IFERROR(ycps("CAOS","six_month_return"),"")</f>
        <v/>
      </c>
      <c r="R72" s="14" t="str">
        <f ca="1">IFERROR(ycps("CAOS","one_year_return"),"")</f>
        <v/>
      </c>
      <c r="S72" s="43">
        <f t="shared" ca="1" si="8"/>
        <v>0</v>
      </c>
      <c r="T72" s="43">
        <f t="shared" ca="1" si="9"/>
        <v>0</v>
      </c>
      <c r="U72" s="43">
        <f t="shared" ca="1" si="10"/>
        <v>0</v>
      </c>
      <c r="V72" s="43">
        <f t="shared" ca="1" si="11"/>
        <v>0</v>
      </c>
      <c r="W72" s="43">
        <f ca="1">IFERROR(ROUND(T72*'Data Input'!$B$29+U72*'Data Input'!$B$30+V72*'Data Input'!$B$31+S72*'Data Input'!$B$32,0),0)</f>
        <v>0</v>
      </c>
      <c r="X72" s="17" t="str">
        <f t="shared" ca="1" si="12"/>
        <v>STRONG SELL</v>
      </c>
      <c r="Y72" s="17" t="str">
        <f t="shared" ca="1" si="13"/>
        <v>HIGH</v>
      </c>
      <c r="Z72" s="17" t="str">
        <f>IFERROR(IF(COUNTIF('Asset Analysis'!$A$4:$A$27,A72)&gt;0,"YES","NO"),"")</f>
        <v>NO</v>
      </c>
      <c r="AA72" s="17" t="str">
        <f t="shared" ca="1" si="14"/>
        <v>NOT QUALIFIED</v>
      </c>
      <c r="AB72" s="17" t="str">
        <f t="shared" ca="1" si="15"/>
        <v>—</v>
      </c>
      <c r="AC72" s="11"/>
      <c r="AD72" s="11"/>
    </row>
    <row r="73" spans="1:30" ht="15" customHeight="1" x14ac:dyDescent="0.3">
      <c r="A73" s="13" t="s">
        <v>311</v>
      </c>
      <c r="B73" s="13" t="s">
        <v>614</v>
      </c>
      <c r="C73" s="13" t="s">
        <v>615</v>
      </c>
      <c r="D73" s="13" t="s">
        <v>616</v>
      </c>
      <c r="E73" s="14" t="str">
        <f ca="1">IFERROR(ycps("BUFR","price"),"")</f>
        <v/>
      </c>
      <c r="F73" s="14" t="str">
        <f ca="1">IFERROR(ycps("BUFR","one_year_return"),"")</f>
        <v/>
      </c>
      <c r="G73" s="14" t="str">
        <f ca="1">IFERROR(ycps("BUFR","three_year_annualized_return"),"")</f>
        <v/>
      </c>
      <c r="H73" s="14" t="str">
        <f ca="1">IFERROR(ycps("BUFR","five_year_annualized_return"),"")</f>
        <v/>
      </c>
      <c r="I73" s="14" t="str">
        <f ca="1">IFERROR(ycps("BUFR","one_year_volatility"),"")</f>
        <v/>
      </c>
      <c r="J73" s="42">
        <f ca="1">IFERROR(IF(I73=0,0,(F73-'Data Input'!$B$4)/I73),0)</f>
        <v>0</v>
      </c>
      <c r="K73" s="14" t="str">
        <f ca="1">IFERROR(ycps("BUFR","max_drawdown_3_year"),"")</f>
        <v/>
      </c>
      <c r="L73" s="14" t="str">
        <f ca="1">IFERROR(ycps("BUFR","beta_5_year"),"")</f>
        <v/>
      </c>
      <c r="M73" s="14" t="str">
        <f ca="1">IFERROR(ycps("BUFR","dividend_yield"),"")</f>
        <v/>
      </c>
      <c r="N73" s="14" t="str">
        <f ca="1">IFERROR(ycps("BUFR","forward_pe_ratio"),"")</f>
        <v/>
      </c>
      <c r="O73" s="14" t="str">
        <f ca="1">IFERROR(ycps("BUFR","one_month_return"),"")</f>
        <v/>
      </c>
      <c r="P73" s="14" t="str">
        <f ca="1">IFERROR(ycps("BUFR","three_month_return"),"")</f>
        <v/>
      </c>
      <c r="Q73" s="14" t="str">
        <f ca="1">IFERROR(ycps("BUFR","six_month_return"),"")</f>
        <v/>
      </c>
      <c r="R73" s="14" t="str">
        <f ca="1">IFERROR(ycps("BUFR","one_year_return"),"")</f>
        <v/>
      </c>
      <c r="S73" s="43">
        <f t="shared" ca="1" si="8"/>
        <v>0</v>
      </c>
      <c r="T73" s="43">
        <f t="shared" ca="1" si="9"/>
        <v>0</v>
      </c>
      <c r="U73" s="43">
        <f t="shared" ca="1" si="10"/>
        <v>0</v>
      </c>
      <c r="V73" s="43">
        <f t="shared" ca="1" si="11"/>
        <v>0</v>
      </c>
      <c r="W73" s="43">
        <f ca="1">IFERROR(ROUND(T73*'Data Input'!$B$29+U73*'Data Input'!$B$30+V73*'Data Input'!$B$31+S73*'Data Input'!$B$32,0),0)</f>
        <v>0</v>
      </c>
      <c r="X73" s="17" t="str">
        <f t="shared" ca="1" si="12"/>
        <v>STRONG SELL</v>
      </c>
      <c r="Y73" s="17" t="str">
        <f t="shared" ca="1" si="13"/>
        <v>HIGH</v>
      </c>
      <c r="Z73" s="17" t="str">
        <f>IFERROR(IF(COUNTIF('Asset Analysis'!$A$4:$A$27,A73)&gt;0,"YES","NO"),"")</f>
        <v>NO</v>
      </c>
      <c r="AA73" s="17" t="str">
        <f t="shared" ca="1" si="14"/>
        <v>NOT QUALIFIED</v>
      </c>
      <c r="AB73" s="17" t="str">
        <f t="shared" ca="1" si="15"/>
        <v>—</v>
      </c>
      <c r="AC73" s="11"/>
      <c r="AD73" s="11"/>
    </row>
    <row r="74" spans="1:30" ht="15" customHeight="1" x14ac:dyDescent="0.3">
      <c r="A74" s="13" t="s">
        <v>317</v>
      </c>
      <c r="B74" s="13" t="s">
        <v>617</v>
      </c>
      <c r="C74" s="13" t="s">
        <v>615</v>
      </c>
      <c r="D74" s="13" t="s">
        <v>618</v>
      </c>
      <c r="E74" s="14" t="str">
        <f ca="1">IFERROR(ycps("BUFZ","price"),"")</f>
        <v/>
      </c>
      <c r="F74" s="14" t="str">
        <f ca="1">IFERROR(ycps("BUFZ","one_year_return"),"")</f>
        <v/>
      </c>
      <c r="G74" s="14" t="str">
        <f ca="1">IFERROR(ycps("BUFZ","three_year_annualized_return"),"")</f>
        <v/>
      </c>
      <c r="H74" s="14" t="str">
        <f ca="1">IFERROR(ycps("BUFZ","five_year_annualized_return"),"")</f>
        <v/>
      </c>
      <c r="I74" s="14" t="str">
        <f ca="1">IFERROR(ycps("BUFZ","one_year_volatility"),"")</f>
        <v/>
      </c>
      <c r="J74" s="42">
        <f ca="1">IFERROR(IF(I74=0,0,(F74-'Data Input'!$B$4)/I74),0)</f>
        <v>0</v>
      </c>
      <c r="K74" s="14" t="str">
        <f ca="1">IFERROR(ycps("BUFZ","max_drawdown_3_year"),"")</f>
        <v/>
      </c>
      <c r="L74" s="14" t="str">
        <f ca="1">IFERROR(ycps("BUFZ","beta_5_year"),"")</f>
        <v/>
      </c>
      <c r="M74" s="14" t="str">
        <f ca="1">IFERROR(ycps("BUFZ","dividend_yield"),"")</f>
        <v/>
      </c>
      <c r="N74" s="14" t="str">
        <f ca="1">IFERROR(ycps("BUFZ","forward_pe_ratio"),"")</f>
        <v/>
      </c>
      <c r="O74" s="14" t="str">
        <f ca="1">IFERROR(ycps("BUFZ","one_month_return"),"")</f>
        <v/>
      </c>
      <c r="P74" s="14" t="str">
        <f ca="1">IFERROR(ycps("BUFZ","three_month_return"),"")</f>
        <v/>
      </c>
      <c r="Q74" s="14" t="str">
        <f ca="1">IFERROR(ycps("BUFZ","six_month_return"),"")</f>
        <v/>
      </c>
      <c r="R74" s="14" t="str">
        <f ca="1">IFERROR(ycps("BUFZ","one_year_return"),"")</f>
        <v/>
      </c>
      <c r="S74" s="43">
        <f t="shared" ca="1" si="8"/>
        <v>0</v>
      </c>
      <c r="T74" s="43">
        <f t="shared" ca="1" si="9"/>
        <v>0</v>
      </c>
      <c r="U74" s="43">
        <f t="shared" ca="1" si="10"/>
        <v>0</v>
      </c>
      <c r="V74" s="43">
        <f t="shared" ca="1" si="11"/>
        <v>0</v>
      </c>
      <c r="W74" s="43">
        <f ca="1">IFERROR(ROUND(T74*'Data Input'!$B$29+U74*'Data Input'!$B$30+V74*'Data Input'!$B$31+S74*'Data Input'!$B$32,0),0)</f>
        <v>0</v>
      </c>
      <c r="X74" s="17" t="str">
        <f t="shared" ca="1" si="12"/>
        <v>STRONG SELL</v>
      </c>
      <c r="Y74" s="17" t="str">
        <f t="shared" ca="1" si="13"/>
        <v>HIGH</v>
      </c>
      <c r="Z74" s="17" t="str">
        <f>IFERROR(IF(COUNTIF('Asset Analysis'!$A$4:$A$27,A74)&gt;0,"YES","NO"),"")</f>
        <v>NO</v>
      </c>
      <c r="AA74" s="17" t="str">
        <f t="shared" ca="1" si="14"/>
        <v>NOT QUALIFIED</v>
      </c>
      <c r="AB74" s="17" t="str">
        <f t="shared" ca="1" si="15"/>
        <v>—</v>
      </c>
      <c r="AC74" s="11"/>
      <c r="AD74" s="11"/>
    </row>
    <row r="75" spans="1:30" ht="15" customHeight="1" x14ac:dyDescent="0.3">
      <c r="A75" s="13" t="s">
        <v>321</v>
      </c>
      <c r="B75" s="13" t="s">
        <v>619</v>
      </c>
      <c r="C75" s="13" t="s">
        <v>615</v>
      </c>
      <c r="D75" s="13" t="s">
        <v>531</v>
      </c>
      <c r="E75" s="14" t="str">
        <f ca="1">IFERROR(ycps("BUFS","price"),"")</f>
        <v/>
      </c>
      <c r="F75" s="14" t="str">
        <f ca="1">IFERROR(ycps("BUFS","one_year_return"),"")</f>
        <v/>
      </c>
      <c r="G75" s="14" t="str">
        <f ca="1">IFERROR(ycps("BUFS","three_year_annualized_return"),"")</f>
        <v/>
      </c>
      <c r="H75" s="14" t="str">
        <f ca="1">IFERROR(ycps("BUFS","five_year_annualized_return"),"")</f>
        <v/>
      </c>
      <c r="I75" s="14" t="str">
        <f ca="1">IFERROR(ycps("BUFS","one_year_volatility"),"")</f>
        <v/>
      </c>
      <c r="J75" s="42">
        <f ca="1">IFERROR(IF(I75=0,0,(F75-'Data Input'!$B$4)/I75),0)</f>
        <v>0</v>
      </c>
      <c r="K75" s="14" t="str">
        <f ca="1">IFERROR(ycps("BUFS","max_drawdown_3_year"),"")</f>
        <v/>
      </c>
      <c r="L75" s="14" t="str">
        <f ca="1">IFERROR(ycps("BUFS","beta_5_year"),"")</f>
        <v/>
      </c>
      <c r="M75" s="14" t="str">
        <f ca="1">IFERROR(ycps("BUFS","dividend_yield"),"")</f>
        <v/>
      </c>
      <c r="N75" s="14" t="str">
        <f ca="1">IFERROR(ycps("BUFS","forward_pe_ratio"),"")</f>
        <v/>
      </c>
      <c r="O75" s="14" t="str">
        <f ca="1">IFERROR(ycps("BUFS","one_month_return"),"")</f>
        <v/>
      </c>
      <c r="P75" s="14" t="str">
        <f ca="1">IFERROR(ycps("BUFS","three_month_return"),"")</f>
        <v/>
      </c>
      <c r="Q75" s="14" t="str">
        <f ca="1">IFERROR(ycps("BUFS","six_month_return"),"")</f>
        <v/>
      </c>
      <c r="R75" s="14" t="str">
        <f ca="1">IFERROR(ycps("BUFS","one_year_return"),"")</f>
        <v/>
      </c>
      <c r="S75" s="43">
        <f t="shared" ca="1" si="8"/>
        <v>0</v>
      </c>
      <c r="T75" s="43">
        <f t="shared" ca="1" si="9"/>
        <v>0</v>
      </c>
      <c r="U75" s="43">
        <f t="shared" ca="1" si="10"/>
        <v>0</v>
      </c>
      <c r="V75" s="43">
        <f t="shared" ca="1" si="11"/>
        <v>0</v>
      </c>
      <c r="W75" s="43">
        <f ca="1">IFERROR(ROUND(T75*'Data Input'!$B$29+U75*'Data Input'!$B$30+V75*'Data Input'!$B$31+S75*'Data Input'!$B$32,0),0)</f>
        <v>0</v>
      </c>
      <c r="X75" s="17" t="str">
        <f t="shared" ca="1" si="12"/>
        <v>STRONG SELL</v>
      </c>
      <c r="Y75" s="17" t="str">
        <f t="shared" ca="1" si="13"/>
        <v>HIGH</v>
      </c>
      <c r="Z75" s="17" t="str">
        <f>IFERROR(IF(COUNTIF('Asset Analysis'!$A$4:$A$27,A75)&gt;0,"YES","NO"),"")</f>
        <v>NO</v>
      </c>
      <c r="AA75" s="17" t="str">
        <f t="shared" ca="1" si="14"/>
        <v>NOT QUALIFIED</v>
      </c>
      <c r="AB75" s="17" t="str">
        <f t="shared" ca="1" si="15"/>
        <v>—</v>
      </c>
      <c r="AC75" s="11"/>
      <c r="AD75" s="11"/>
    </row>
    <row r="76" spans="1:30" ht="15" customHeight="1" x14ac:dyDescent="0.3">
      <c r="A76" s="13" t="s">
        <v>325</v>
      </c>
      <c r="B76" s="13" t="s">
        <v>620</v>
      </c>
      <c r="C76" s="13" t="s">
        <v>615</v>
      </c>
      <c r="D76" s="13" t="s">
        <v>621</v>
      </c>
      <c r="E76" s="14" t="str">
        <f ca="1">IFERROR(ycps("BUFY","price"),"")</f>
        <v/>
      </c>
      <c r="F76" s="14" t="str">
        <f ca="1">IFERROR(ycps("BUFY","one_year_return"),"")</f>
        <v/>
      </c>
      <c r="G76" s="14" t="str">
        <f ca="1">IFERROR(ycps("BUFY","three_year_annualized_return"),"")</f>
        <v/>
      </c>
      <c r="H76" s="14" t="str">
        <f ca="1">IFERROR(ycps("BUFY","five_year_annualized_return"),"")</f>
        <v/>
      </c>
      <c r="I76" s="14" t="str">
        <f ca="1">IFERROR(ycps("BUFY","one_year_volatility"),"")</f>
        <v/>
      </c>
      <c r="J76" s="42">
        <f ca="1">IFERROR(IF(I76=0,0,(F76-'Data Input'!$B$4)/I76),0)</f>
        <v>0</v>
      </c>
      <c r="K76" s="14" t="str">
        <f ca="1">IFERROR(ycps("BUFY","max_drawdown_3_year"),"")</f>
        <v/>
      </c>
      <c r="L76" s="14" t="str">
        <f ca="1">IFERROR(ycps("BUFY","beta_5_year"),"")</f>
        <v/>
      </c>
      <c r="M76" s="14" t="str">
        <f ca="1">IFERROR(ycps("BUFY","dividend_yield"),"")</f>
        <v/>
      </c>
      <c r="N76" s="14" t="str">
        <f ca="1">IFERROR(ycps("BUFY","forward_pe_ratio"),"")</f>
        <v/>
      </c>
      <c r="O76" s="14" t="str">
        <f ca="1">IFERROR(ycps("BUFY","one_month_return"),"")</f>
        <v/>
      </c>
      <c r="P76" s="14" t="str">
        <f ca="1">IFERROR(ycps("BUFY","three_month_return"),"")</f>
        <v/>
      </c>
      <c r="Q76" s="14" t="str">
        <f ca="1">IFERROR(ycps("BUFY","six_month_return"),"")</f>
        <v/>
      </c>
      <c r="R76" s="14" t="str">
        <f ca="1">IFERROR(ycps("BUFY","one_year_return"),"")</f>
        <v/>
      </c>
      <c r="S76" s="43">
        <f t="shared" ca="1" si="8"/>
        <v>0</v>
      </c>
      <c r="T76" s="43">
        <f t="shared" ca="1" si="9"/>
        <v>0</v>
      </c>
      <c r="U76" s="43">
        <f t="shared" ca="1" si="10"/>
        <v>0</v>
      </c>
      <c r="V76" s="43">
        <f t="shared" ca="1" si="11"/>
        <v>0</v>
      </c>
      <c r="W76" s="43">
        <f ca="1">IFERROR(ROUND(T76*'Data Input'!$B$29+U76*'Data Input'!$B$30+V76*'Data Input'!$B$31+S76*'Data Input'!$B$32,0),0)</f>
        <v>0</v>
      </c>
      <c r="X76" s="17" t="str">
        <f t="shared" ca="1" si="12"/>
        <v>STRONG SELL</v>
      </c>
      <c r="Y76" s="17" t="str">
        <f t="shared" ca="1" si="13"/>
        <v>HIGH</v>
      </c>
      <c r="Z76" s="17" t="str">
        <f>IFERROR(IF(COUNTIF('Asset Analysis'!$A$4:$A$27,A76)&gt;0,"YES","NO"),"")</f>
        <v>NO</v>
      </c>
      <c r="AA76" s="17" t="str">
        <f t="shared" ca="1" si="14"/>
        <v>NOT QUALIFIED</v>
      </c>
      <c r="AB76" s="17" t="str">
        <f t="shared" ca="1" si="15"/>
        <v>—</v>
      </c>
      <c r="AC76" s="11"/>
      <c r="AD76" s="11"/>
    </row>
    <row r="77" spans="1:30" ht="15" customHeight="1" x14ac:dyDescent="0.3">
      <c r="A77" s="13" t="s">
        <v>136</v>
      </c>
      <c r="B77" s="13" t="s">
        <v>622</v>
      </c>
      <c r="C77" s="13" t="s">
        <v>137</v>
      </c>
      <c r="D77" s="13" t="s">
        <v>623</v>
      </c>
      <c r="E77" s="14" t="str">
        <f ca="1">IFERROR(ycps("AAPL","price"),"")</f>
        <v/>
      </c>
      <c r="F77" s="14" t="str">
        <f ca="1">IFERROR(ycps("AAPL","one_year_return"),"")</f>
        <v/>
      </c>
      <c r="G77" s="14" t="str">
        <f ca="1">IFERROR(ycps("AAPL","three_year_annualized_return"),"")</f>
        <v/>
      </c>
      <c r="H77" s="14" t="str">
        <f ca="1">IFERROR(ycps("AAPL","five_year_annualized_return"),"")</f>
        <v/>
      </c>
      <c r="I77" s="14" t="str">
        <f ca="1">IFERROR(ycps("AAPL","one_year_volatility"),"")</f>
        <v/>
      </c>
      <c r="J77" s="42">
        <f ca="1">IFERROR(IF(I77=0,0,(F77-'Data Input'!$B$4)/I77),0)</f>
        <v>0</v>
      </c>
      <c r="K77" s="14" t="str">
        <f ca="1">IFERROR(ycps("AAPL","max_drawdown_3_year"),"")</f>
        <v/>
      </c>
      <c r="L77" s="14" t="str">
        <f ca="1">IFERROR(ycps("AAPL","beta_5_year"),"")</f>
        <v/>
      </c>
      <c r="M77" s="14" t="str">
        <f ca="1">IFERROR(ycps("AAPL","dividend_yield"),"")</f>
        <v/>
      </c>
      <c r="N77" s="14" t="str">
        <f ca="1">IFERROR(ycps("AAPL","forward_pe_ratio"),"")</f>
        <v/>
      </c>
      <c r="O77" s="14" t="str">
        <f ca="1">IFERROR(ycps("AAPL","one_month_return"),"")</f>
        <v/>
      </c>
      <c r="P77" s="14" t="str">
        <f ca="1">IFERROR(ycps("AAPL","three_month_return"),"")</f>
        <v/>
      </c>
      <c r="Q77" s="14" t="str">
        <f ca="1">IFERROR(ycps("AAPL","six_month_return"),"")</f>
        <v/>
      </c>
      <c r="R77" s="14" t="str">
        <f ca="1">IFERROR(ycps("AAPL","one_year_return"),"")</f>
        <v/>
      </c>
      <c r="S77" s="43">
        <f t="shared" ca="1" si="8"/>
        <v>0</v>
      </c>
      <c r="T77" s="43">
        <f t="shared" ca="1" si="9"/>
        <v>0</v>
      </c>
      <c r="U77" s="43">
        <f t="shared" ca="1" si="10"/>
        <v>0</v>
      </c>
      <c r="V77" s="43">
        <f t="shared" ca="1" si="11"/>
        <v>0</v>
      </c>
      <c r="W77" s="43">
        <f ca="1">IFERROR(ROUND(T77*'Data Input'!$B$29+U77*'Data Input'!$B$30+V77*'Data Input'!$B$31+S77*'Data Input'!$B$32,0),0)</f>
        <v>0</v>
      </c>
      <c r="X77" s="17" t="str">
        <f t="shared" ca="1" si="12"/>
        <v>STRONG SELL</v>
      </c>
      <c r="Y77" s="17" t="str">
        <f t="shared" ca="1" si="13"/>
        <v>HIGH</v>
      </c>
      <c r="Z77" s="17" t="str">
        <f>IFERROR(IF(COUNTIF('Asset Analysis'!$A$4:$A$27,A77)&gt;0,"YES","NO"),"")</f>
        <v>YES</v>
      </c>
      <c r="AA77" s="17" t="str">
        <f t="shared" ca="1" si="14"/>
        <v>→ DELETE FROM PORTFOLIO</v>
      </c>
      <c r="AB77" s="17" t="str">
        <f t="shared" ca="1" si="15"/>
        <v>P1 — IMMEDIATE</v>
      </c>
      <c r="AC77" s="11"/>
      <c r="AD77" s="11"/>
    </row>
    <row r="78" spans="1:30" ht="15" customHeight="1" x14ac:dyDescent="0.3">
      <c r="A78" s="13" t="s">
        <v>138</v>
      </c>
      <c r="B78" s="13" t="s">
        <v>624</v>
      </c>
      <c r="C78" s="13" t="s">
        <v>137</v>
      </c>
      <c r="D78" s="13" t="s">
        <v>623</v>
      </c>
      <c r="E78" s="14" t="str">
        <f ca="1">IFERROR(ycps("MSFT","price"),"")</f>
        <v/>
      </c>
      <c r="F78" s="14" t="str">
        <f ca="1">IFERROR(ycps("MSFT","one_year_return"),"")</f>
        <v/>
      </c>
      <c r="G78" s="14" t="str">
        <f ca="1">IFERROR(ycps("MSFT","three_year_annualized_return"),"")</f>
        <v/>
      </c>
      <c r="H78" s="14" t="str">
        <f ca="1">IFERROR(ycps("MSFT","five_year_annualized_return"),"")</f>
        <v/>
      </c>
      <c r="I78" s="14" t="str">
        <f ca="1">IFERROR(ycps("MSFT","one_year_volatility"),"")</f>
        <v/>
      </c>
      <c r="J78" s="42">
        <f ca="1">IFERROR(IF(I78=0,0,(F78-'Data Input'!$B$4)/I78),0)</f>
        <v>0</v>
      </c>
      <c r="K78" s="14" t="str">
        <f ca="1">IFERROR(ycps("MSFT","max_drawdown_3_year"),"")</f>
        <v/>
      </c>
      <c r="L78" s="14" t="str">
        <f ca="1">IFERROR(ycps("MSFT","beta_5_year"),"")</f>
        <v/>
      </c>
      <c r="M78" s="14" t="str">
        <f ca="1">IFERROR(ycps("MSFT","dividend_yield"),"")</f>
        <v/>
      </c>
      <c r="N78" s="14" t="str">
        <f ca="1">IFERROR(ycps("MSFT","forward_pe_ratio"),"")</f>
        <v/>
      </c>
      <c r="O78" s="14" t="str">
        <f ca="1">IFERROR(ycps("MSFT","one_month_return"),"")</f>
        <v/>
      </c>
      <c r="P78" s="14" t="str">
        <f ca="1">IFERROR(ycps("MSFT","three_month_return"),"")</f>
        <v/>
      </c>
      <c r="Q78" s="14" t="str">
        <f ca="1">IFERROR(ycps("MSFT","six_month_return"),"")</f>
        <v/>
      </c>
      <c r="R78" s="14" t="str">
        <f ca="1">IFERROR(ycps("MSFT","one_year_return"),"")</f>
        <v/>
      </c>
      <c r="S78" s="43">
        <f t="shared" ca="1" si="8"/>
        <v>0</v>
      </c>
      <c r="T78" s="43">
        <f t="shared" ca="1" si="9"/>
        <v>0</v>
      </c>
      <c r="U78" s="43">
        <f t="shared" ca="1" si="10"/>
        <v>0</v>
      </c>
      <c r="V78" s="43">
        <f t="shared" ca="1" si="11"/>
        <v>0</v>
      </c>
      <c r="W78" s="43">
        <f ca="1">IFERROR(ROUND(T78*'Data Input'!$B$29+U78*'Data Input'!$B$30+V78*'Data Input'!$B$31+S78*'Data Input'!$B$32,0),0)</f>
        <v>0</v>
      </c>
      <c r="X78" s="17" t="str">
        <f t="shared" ca="1" si="12"/>
        <v>STRONG SELL</v>
      </c>
      <c r="Y78" s="17" t="str">
        <f t="shared" ca="1" si="13"/>
        <v>HIGH</v>
      </c>
      <c r="Z78" s="17" t="str">
        <f>IFERROR(IF(COUNTIF('Asset Analysis'!$A$4:$A$27,A78)&gt;0,"YES","NO"),"")</f>
        <v>YES</v>
      </c>
      <c r="AA78" s="17" t="str">
        <f t="shared" ca="1" si="14"/>
        <v>→ DELETE FROM PORTFOLIO</v>
      </c>
      <c r="AB78" s="17" t="str">
        <f t="shared" ca="1" si="15"/>
        <v>P1 — IMMEDIATE</v>
      </c>
      <c r="AC78" s="11"/>
      <c r="AD78" s="11"/>
    </row>
    <row r="79" spans="1:30" ht="15" customHeight="1" x14ac:dyDescent="0.3">
      <c r="A79" s="13" t="s">
        <v>139</v>
      </c>
      <c r="B79" s="13" t="s">
        <v>625</v>
      </c>
      <c r="C79" s="13" t="s">
        <v>137</v>
      </c>
      <c r="D79" s="13" t="s">
        <v>623</v>
      </c>
      <c r="E79" s="14" t="str">
        <f ca="1">IFERROR(ycps("NVDA","price"),"")</f>
        <v/>
      </c>
      <c r="F79" s="14" t="str">
        <f ca="1">IFERROR(ycps("NVDA","one_year_return"),"")</f>
        <v/>
      </c>
      <c r="G79" s="14" t="str">
        <f ca="1">IFERROR(ycps("NVDA","three_year_annualized_return"),"")</f>
        <v/>
      </c>
      <c r="H79" s="14" t="str">
        <f ca="1">IFERROR(ycps("NVDA","five_year_annualized_return"),"")</f>
        <v/>
      </c>
      <c r="I79" s="14" t="str">
        <f ca="1">IFERROR(ycps("NVDA","one_year_volatility"),"")</f>
        <v/>
      </c>
      <c r="J79" s="42">
        <f ca="1">IFERROR(IF(I79=0,0,(F79-'Data Input'!$B$4)/I79),0)</f>
        <v>0</v>
      </c>
      <c r="K79" s="14" t="str">
        <f ca="1">IFERROR(ycps("NVDA","max_drawdown_3_year"),"")</f>
        <v/>
      </c>
      <c r="L79" s="14" t="str">
        <f ca="1">IFERROR(ycps("NVDA","beta_5_year"),"")</f>
        <v/>
      </c>
      <c r="M79" s="14" t="str">
        <f ca="1">IFERROR(ycps("NVDA","dividend_yield"),"")</f>
        <v/>
      </c>
      <c r="N79" s="14" t="str">
        <f ca="1">IFERROR(ycps("NVDA","forward_pe_ratio"),"")</f>
        <v/>
      </c>
      <c r="O79" s="14" t="str">
        <f ca="1">IFERROR(ycps("NVDA","one_month_return"),"")</f>
        <v/>
      </c>
      <c r="P79" s="14" t="str">
        <f ca="1">IFERROR(ycps("NVDA","three_month_return"),"")</f>
        <v/>
      </c>
      <c r="Q79" s="14" t="str">
        <f ca="1">IFERROR(ycps("NVDA","six_month_return"),"")</f>
        <v/>
      </c>
      <c r="R79" s="14" t="str">
        <f ca="1">IFERROR(ycps("NVDA","one_year_return"),"")</f>
        <v/>
      </c>
      <c r="S79" s="43">
        <f t="shared" ca="1" si="8"/>
        <v>0</v>
      </c>
      <c r="T79" s="43">
        <f t="shared" ca="1" si="9"/>
        <v>0</v>
      </c>
      <c r="U79" s="43">
        <f t="shared" ca="1" si="10"/>
        <v>0</v>
      </c>
      <c r="V79" s="43">
        <f t="shared" ca="1" si="11"/>
        <v>0</v>
      </c>
      <c r="W79" s="43">
        <f ca="1">IFERROR(ROUND(T79*'Data Input'!$B$29+U79*'Data Input'!$B$30+V79*'Data Input'!$B$31+S79*'Data Input'!$B$32,0),0)</f>
        <v>0</v>
      </c>
      <c r="X79" s="17" t="str">
        <f t="shared" ca="1" si="12"/>
        <v>STRONG SELL</v>
      </c>
      <c r="Y79" s="17" t="str">
        <f t="shared" ca="1" si="13"/>
        <v>HIGH</v>
      </c>
      <c r="Z79" s="17" t="str">
        <f>IFERROR(IF(COUNTIF('Asset Analysis'!$A$4:$A$27,A79)&gt;0,"YES","NO"),"")</f>
        <v>YES</v>
      </c>
      <c r="AA79" s="17" t="str">
        <f t="shared" ca="1" si="14"/>
        <v>→ DELETE FROM PORTFOLIO</v>
      </c>
      <c r="AB79" s="17" t="str">
        <f t="shared" ca="1" si="15"/>
        <v>P1 — IMMEDIATE</v>
      </c>
      <c r="AC79" s="11"/>
      <c r="AD79" s="11"/>
    </row>
    <row r="80" spans="1:30" ht="15" customHeight="1" x14ac:dyDescent="0.3">
      <c r="A80" s="13" t="s">
        <v>626</v>
      </c>
      <c r="B80" s="13" t="s">
        <v>627</v>
      </c>
      <c r="C80" s="13" t="s">
        <v>137</v>
      </c>
      <c r="D80" s="13" t="s">
        <v>623</v>
      </c>
      <c r="E80" s="14" t="str">
        <f ca="1">IFERROR(ycps("GOOGL","price"),"")</f>
        <v/>
      </c>
      <c r="F80" s="14" t="str">
        <f ca="1">IFERROR(ycps("GOOGL","one_year_return"),"")</f>
        <v/>
      </c>
      <c r="G80" s="14" t="str">
        <f ca="1">IFERROR(ycps("GOOGL","three_year_annualized_return"),"")</f>
        <v/>
      </c>
      <c r="H80" s="14" t="str">
        <f ca="1">IFERROR(ycps("GOOGL","five_year_annualized_return"),"")</f>
        <v/>
      </c>
      <c r="I80" s="14" t="str">
        <f ca="1">IFERROR(ycps("GOOGL","one_year_volatility"),"")</f>
        <v/>
      </c>
      <c r="J80" s="42">
        <f ca="1">IFERROR(IF(I80=0,0,(F80-'Data Input'!$B$4)/I80),0)</f>
        <v>0</v>
      </c>
      <c r="K80" s="14" t="str">
        <f ca="1">IFERROR(ycps("GOOGL","max_drawdown_3_year"),"")</f>
        <v/>
      </c>
      <c r="L80" s="14" t="str">
        <f ca="1">IFERROR(ycps("GOOGL","beta_5_year"),"")</f>
        <v/>
      </c>
      <c r="M80" s="14" t="str">
        <f ca="1">IFERROR(ycps("GOOGL","dividend_yield"),"")</f>
        <v/>
      </c>
      <c r="N80" s="14" t="str">
        <f ca="1">IFERROR(ycps("GOOGL","forward_pe_ratio"),"")</f>
        <v/>
      </c>
      <c r="O80" s="14" t="str">
        <f ca="1">IFERROR(ycps("GOOGL","one_month_return"),"")</f>
        <v/>
      </c>
      <c r="P80" s="14" t="str">
        <f ca="1">IFERROR(ycps("GOOGL","three_month_return"),"")</f>
        <v/>
      </c>
      <c r="Q80" s="14" t="str">
        <f ca="1">IFERROR(ycps("GOOGL","six_month_return"),"")</f>
        <v/>
      </c>
      <c r="R80" s="14" t="str">
        <f ca="1">IFERROR(ycps("GOOGL","one_year_return"),"")</f>
        <v/>
      </c>
      <c r="S80" s="43">
        <f t="shared" ca="1" si="8"/>
        <v>0</v>
      </c>
      <c r="T80" s="43">
        <f t="shared" ca="1" si="9"/>
        <v>0</v>
      </c>
      <c r="U80" s="43">
        <f t="shared" ca="1" si="10"/>
        <v>0</v>
      </c>
      <c r="V80" s="43">
        <f t="shared" ca="1" si="11"/>
        <v>0</v>
      </c>
      <c r="W80" s="43">
        <f ca="1">IFERROR(ROUND(T80*'Data Input'!$B$29+U80*'Data Input'!$B$30+V80*'Data Input'!$B$31+S80*'Data Input'!$B$32,0),0)</f>
        <v>0</v>
      </c>
      <c r="X80" s="17" t="str">
        <f t="shared" ca="1" si="12"/>
        <v>STRONG SELL</v>
      </c>
      <c r="Y80" s="17" t="str">
        <f t="shared" ca="1" si="13"/>
        <v>HIGH</v>
      </c>
      <c r="Z80" s="17" t="str">
        <f>IFERROR(IF(COUNTIF('Asset Analysis'!$A$4:$A$27,A80)&gt;0,"YES","NO"),"")</f>
        <v>NO</v>
      </c>
      <c r="AA80" s="17" t="str">
        <f t="shared" ca="1" si="14"/>
        <v>NOT QUALIFIED</v>
      </c>
      <c r="AB80" s="17" t="str">
        <f t="shared" ca="1" si="15"/>
        <v>—</v>
      </c>
      <c r="AC80" s="11"/>
      <c r="AD80" s="11"/>
    </row>
    <row r="81" spans="1:30" ht="15" customHeight="1" x14ac:dyDescent="0.3">
      <c r="A81" s="13" t="s">
        <v>628</v>
      </c>
      <c r="B81" s="13" t="s">
        <v>629</v>
      </c>
      <c r="C81" s="13" t="s">
        <v>137</v>
      </c>
      <c r="D81" s="13" t="s">
        <v>623</v>
      </c>
      <c r="E81" s="14" t="str">
        <f ca="1">IFERROR(ycps("AMZN","price"),"")</f>
        <v/>
      </c>
      <c r="F81" s="14" t="str">
        <f ca="1">IFERROR(ycps("AMZN","one_year_return"),"")</f>
        <v/>
      </c>
      <c r="G81" s="14" t="str">
        <f ca="1">IFERROR(ycps("AMZN","three_year_annualized_return"),"")</f>
        <v/>
      </c>
      <c r="H81" s="14" t="str">
        <f ca="1">IFERROR(ycps("AMZN","five_year_annualized_return"),"")</f>
        <v/>
      </c>
      <c r="I81" s="14" t="str">
        <f ca="1">IFERROR(ycps("AMZN","one_year_volatility"),"")</f>
        <v/>
      </c>
      <c r="J81" s="42">
        <f ca="1">IFERROR(IF(I81=0,0,(F81-'Data Input'!$B$4)/I81),0)</f>
        <v>0</v>
      </c>
      <c r="K81" s="14" t="str">
        <f ca="1">IFERROR(ycps("AMZN","max_drawdown_3_year"),"")</f>
        <v/>
      </c>
      <c r="L81" s="14" t="str">
        <f ca="1">IFERROR(ycps("AMZN","beta_5_year"),"")</f>
        <v/>
      </c>
      <c r="M81" s="14" t="str">
        <f ca="1">IFERROR(ycps("AMZN","dividend_yield"),"")</f>
        <v/>
      </c>
      <c r="N81" s="14" t="str">
        <f ca="1">IFERROR(ycps("AMZN","forward_pe_ratio"),"")</f>
        <v/>
      </c>
      <c r="O81" s="14" t="str">
        <f ca="1">IFERROR(ycps("AMZN","one_month_return"),"")</f>
        <v/>
      </c>
      <c r="P81" s="14" t="str">
        <f ca="1">IFERROR(ycps("AMZN","three_month_return"),"")</f>
        <v/>
      </c>
      <c r="Q81" s="14" t="str">
        <f ca="1">IFERROR(ycps("AMZN","six_month_return"),"")</f>
        <v/>
      </c>
      <c r="R81" s="14" t="str">
        <f ca="1">IFERROR(ycps("AMZN","one_year_return"),"")</f>
        <v/>
      </c>
      <c r="S81" s="43">
        <f t="shared" ref="S81:S112" ca="1" si="16">IFERROR(MIN(100,MAX(0,ROUND(50+(O81*0.4+P81*0.3+Q81*0.2+R81*0.1)*200,0))),0)</f>
        <v>0</v>
      </c>
      <c r="T81" s="43">
        <f t="shared" ref="T81:T97" ca="1" si="17">IFERROR(MIN(100,MAX(0,ROUND(50+R81*150+IF(F81&gt;0,15,0)+IF(L81&gt;0,5,-5),0))),0)</f>
        <v>0</v>
      </c>
      <c r="U81" s="43">
        <f t="shared" ref="U81:U97" ca="1" si="18">IFERROR(MIN(100,MAX(0,ROUND(50+O81*200+IF(AND(O81&gt;0,P81&gt;0),10,-5)+IF(I81&lt;0.2,10,-5),0))),0)</f>
        <v>0</v>
      </c>
      <c r="V81" s="43">
        <f t="shared" ref="V81:V97" ca="1" si="19">IFERROR(MIN(100,MAX(0,ROUND(30+IF(I81&gt;0,F81/I81,0)*40+IF(ABS(L81)&lt;0.5,15,0)+IF(F81&gt;0.08,10,0),0))),0)</f>
        <v>0</v>
      </c>
      <c r="W81" s="43">
        <f ca="1">IFERROR(ROUND(T81*'Data Input'!$B$29+U81*'Data Input'!$B$30+V81*'Data Input'!$B$31+S81*'Data Input'!$B$32,0),0)</f>
        <v>0</v>
      </c>
      <c r="X81" s="17" t="str">
        <f t="shared" ref="X81:X112" ca="1" si="20">IFERROR(IF(AND(W81&gt;=70,IF(T81&gt;=60,1,0)+IF(U81&gt;=60,1,0)+IF(V81&gt;=60,1,0)+IF(S81&gt;=60,1,0)&gt;=3),"STRONG BUY",IF(AND(W81&gt;=60,IF(T81&gt;=60,1,0)+IF(U81&gt;=60,1,0)+IF(V81&gt;=60,1,0)+IF(S81&gt;=60,1,0)&gt;=2),"BUY",IF(W81&lt;35,"STRONG SELL",IF(AND(W81&lt;45,IF(T81&gt;=60,1,0)+IF(U81&gt;=60,1,0)+IF(V81&gt;=60,1,0)+IF(S81&gt;=60,1,0)&lt;=1),"SELL","HOLD")))),"")</f>
        <v>STRONG SELL</v>
      </c>
      <c r="Y81" s="17" t="str">
        <f t="shared" ref="Y81:Y112" ca="1" si="21">IFERROR(IF(OR(X81="STRONG BUY",X81="STRONG SELL"),"HIGH",IF(OR(X81="BUY",X81="SELL"),"MEDIUM","NEUTRAL")),"")</f>
        <v>HIGH</v>
      </c>
      <c r="Z81" s="17" t="str">
        <f>IFERROR(IF(COUNTIF('Asset Analysis'!$A$4:$A$27,A81)&gt;0,"YES","NO"),"")</f>
        <v>NO</v>
      </c>
      <c r="AA81" s="17" t="str">
        <f t="shared" ref="AA81:AA112" ca="1" si="22">IFERROR(IF(AND(Z81="NO",W81&gt;=$B$7,J81&gt;=$B$5,S81&gt;=$B$6,I81&lt;=$B$8,F81&gt;=$B$9),"→ ADD TO PORTFOLIO",IF(AND(Z81="YES",OR(J81&lt;=$B$10,S81&lt;=$B$11,W81&lt;=$B$12,K81&lt;=-$B$13)),"→ DELETE FROM PORTFOLIO",IF(AND(Z81="YES",X81="HOLD"),"HOLD — MONITOR",IF(AND(Z81="YES",OR(X81="BUY",X81="STRONG BUY")),"HOLD — STRONG",IF(Z81="NO","NOT QUALIFIED","REVIEW"))))),"")</f>
        <v>NOT QUALIFIED</v>
      </c>
      <c r="AB81" s="17" t="str">
        <f t="shared" ref="AB81:AB112" ca="1" si="23">IFERROR(IF(AA81="→ ADD TO PORTFOLIO",IF(W81&gt;=70,"P1 — IMMEDIATE",IF(W81&gt;=60,"P2 — THIS WEEK","P3 — NEXT REBALANCE")),IF(AA81="→ DELETE FROM PORTFOLIO","P1 — IMMEDIATE","—")),"")</f>
        <v>—</v>
      </c>
      <c r="AC81" s="11"/>
      <c r="AD81" s="11"/>
    </row>
    <row r="82" spans="1:30" ht="15" customHeight="1" x14ac:dyDescent="0.3">
      <c r="A82" s="13" t="s">
        <v>140</v>
      </c>
      <c r="B82" s="13" t="s">
        <v>630</v>
      </c>
      <c r="C82" s="13" t="s">
        <v>137</v>
      </c>
      <c r="D82" s="13" t="s">
        <v>511</v>
      </c>
      <c r="E82" s="14" t="str">
        <f ca="1">IFERROR(ycps("JPM","price"),"")</f>
        <v/>
      </c>
      <c r="F82" s="14" t="str">
        <f ca="1">IFERROR(ycps("JPM","one_year_return"),"")</f>
        <v/>
      </c>
      <c r="G82" s="14" t="str">
        <f ca="1">IFERROR(ycps("JPM","three_year_annualized_return"),"")</f>
        <v/>
      </c>
      <c r="H82" s="14" t="str">
        <f ca="1">IFERROR(ycps("JPM","five_year_annualized_return"),"")</f>
        <v/>
      </c>
      <c r="I82" s="14" t="str">
        <f ca="1">IFERROR(ycps("JPM","one_year_volatility"),"")</f>
        <v/>
      </c>
      <c r="J82" s="42">
        <f ca="1">IFERROR(IF(I82=0,0,(F82-'Data Input'!$B$4)/I82),0)</f>
        <v>0</v>
      </c>
      <c r="K82" s="14" t="str">
        <f ca="1">IFERROR(ycps("JPM","max_drawdown_3_year"),"")</f>
        <v/>
      </c>
      <c r="L82" s="14" t="str">
        <f ca="1">IFERROR(ycps("JPM","beta_5_year"),"")</f>
        <v/>
      </c>
      <c r="M82" s="14" t="str">
        <f ca="1">IFERROR(ycps("JPM","dividend_yield"),"")</f>
        <v/>
      </c>
      <c r="N82" s="14" t="str">
        <f ca="1">IFERROR(ycps("JPM","forward_pe_ratio"),"")</f>
        <v/>
      </c>
      <c r="O82" s="14" t="str">
        <f ca="1">IFERROR(ycps("JPM","one_month_return"),"")</f>
        <v/>
      </c>
      <c r="P82" s="14" t="str">
        <f ca="1">IFERROR(ycps("JPM","three_month_return"),"")</f>
        <v/>
      </c>
      <c r="Q82" s="14" t="str">
        <f ca="1">IFERROR(ycps("JPM","six_month_return"),"")</f>
        <v/>
      </c>
      <c r="R82" s="14" t="str">
        <f ca="1">IFERROR(ycps("JPM","one_year_return"),"")</f>
        <v/>
      </c>
      <c r="S82" s="43">
        <f t="shared" ca="1" si="16"/>
        <v>0</v>
      </c>
      <c r="T82" s="43">
        <f t="shared" ca="1" si="17"/>
        <v>0</v>
      </c>
      <c r="U82" s="43">
        <f t="shared" ca="1" si="18"/>
        <v>0</v>
      </c>
      <c r="V82" s="43">
        <f t="shared" ca="1" si="19"/>
        <v>0</v>
      </c>
      <c r="W82" s="43">
        <f ca="1">IFERROR(ROUND(T82*'Data Input'!$B$29+U82*'Data Input'!$B$30+V82*'Data Input'!$B$31+S82*'Data Input'!$B$32,0),0)</f>
        <v>0</v>
      </c>
      <c r="X82" s="17" t="str">
        <f t="shared" ca="1" si="20"/>
        <v>STRONG SELL</v>
      </c>
      <c r="Y82" s="17" t="str">
        <f t="shared" ca="1" si="21"/>
        <v>HIGH</v>
      </c>
      <c r="Z82" s="17" t="str">
        <f>IFERROR(IF(COUNTIF('Asset Analysis'!$A$4:$A$27,A82)&gt;0,"YES","NO"),"")</f>
        <v>YES</v>
      </c>
      <c r="AA82" s="17" t="str">
        <f t="shared" ca="1" si="22"/>
        <v>→ DELETE FROM PORTFOLIO</v>
      </c>
      <c r="AB82" s="17" t="str">
        <f t="shared" ca="1" si="23"/>
        <v>P1 — IMMEDIATE</v>
      </c>
      <c r="AC82" s="11"/>
      <c r="AD82" s="11"/>
    </row>
    <row r="83" spans="1:30" ht="15" customHeight="1" x14ac:dyDescent="0.3">
      <c r="A83" s="13" t="s">
        <v>631</v>
      </c>
      <c r="B83" s="13" t="s">
        <v>632</v>
      </c>
      <c r="C83" s="13" t="s">
        <v>137</v>
      </c>
      <c r="D83" s="13" t="s">
        <v>633</v>
      </c>
      <c r="E83" s="14" t="str">
        <f ca="1">IFERROR(ycps("BRK.B","price"),"")</f>
        <v/>
      </c>
      <c r="F83" s="14" t="str">
        <f ca="1">IFERROR(ycps("BRK.B","one_year_return"),"")</f>
        <v/>
      </c>
      <c r="G83" s="14" t="str">
        <f ca="1">IFERROR(ycps("BRK.B","three_year_annualized_return"),"")</f>
        <v/>
      </c>
      <c r="H83" s="14" t="str">
        <f ca="1">IFERROR(ycps("BRK.B","five_year_annualized_return"),"")</f>
        <v/>
      </c>
      <c r="I83" s="14" t="str">
        <f ca="1">IFERROR(ycps("BRK.B","one_year_volatility"),"")</f>
        <v/>
      </c>
      <c r="J83" s="42">
        <f ca="1">IFERROR(IF(I83=0,0,(F83-'Data Input'!$B$4)/I83),0)</f>
        <v>0</v>
      </c>
      <c r="K83" s="14" t="str">
        <f ca="1">IFERROR(ycps("BRK.B","max_drawdown_3_year"),"")</f>
        <v/>
      </c>
      <c r="L83" s="14" t="str">
        <f ca="1">IFERROR(ycps("BRK.B","beta_5_year"),"")</f>
        <v/>
      </c>
      <c r="M83" s="14" t="str">
        <f ca="1">IFERROR(ycps("BRK.B","dividend_yield"),"")</f>
        <v/>
      </c>
      <c r="N83" s="14" t="str">
        <f ca="1">IFERROR(ycps("BRK.B","forward_pe_ratio"),"")</f>
        <v/>
      </c>
      <c r="O83" s="14" t="str">
        <f ca="1">IFERROR(ycps("BRK.B","one_month_return"),"")</f>
        <v/>
      </c>
      <c r="P83" s="14" t="str">
        <f ca="1">IFERROR(ycps("BRK.B","three_month_return"),"")</f>
        <v/>
      </c>
      <c r="Q83" s="14" t="str">
        <f ca="1">IFERROR(ycps("BRK.B","six_month_return"),"")</f>
        <v/>
      </c>
      <c r="R83" s="14" t="str">
        <f ca="1">IFERROR(ycps("BRK.B","one_year_return"),"")</f>
        <v/>
      </c>
      <c r="S83" s="43">
        <f t="shared" ca="1" si="16"/>
        <v>0</v>
      </c>
      <c r="T83" s="43">
        <f t="shared" ca="1" si="17"/>
        <v>0</v>
      </c>
      <c r="U83" s="43">
        <f t="shared" ca="1" si="18"/>
        <v>0</v>
      </c>
      <c r="V83" s="43">
        <f t="shared" ca="1" si="19"/>
        <v>0</v>
      </c>
      <c r="W83" s="43">
        <f ca="1">IFERROR(ROUND(T83*'Data Input'!$B$29+U83*'Data Input'!$B$30+V83*'Data Input'!$B$31+S83*'Data Input'!$B$32,0),0)</f>
        <v>0</v>
      </c>
      <c r="X83" s="17" t="str">
        <f t="shared" ca="1" si="20"/>
        <v>STRONG SELL</v>
      </c>
      <c r="Y83" s="17" t="str">
        <f t="shared" ca="1" si="21"/>
        <v>HIGH</v>
      </c>
      <c r="Z83" s="17" t="str">
        <f>IFERROR(IF(COUNTIF('Asset Analysis'!$A$4:$A$27,A83)&gt;0,"YES","NO"),"")</f>
        <v>NO</v>
      </c>
      <c r="AA83" s="17" t="str">
        <f t="shared" ca="1" si="22"/>
        <v>NOT QUALIFIED</v>
      </c>
      <c r="AB83" s="17" t="str">
        <f t="shared" ca="1" si="23"/>
        <v>—</v>
      </c>
      <c r="AC83" s="11"/>
      <c r="AD83" s="11"/>
    </row>
    <row r="84" spans="1:30" ht="15" customHeight="1" x14ac:dyDescent="0.3">
      <c r="A84" s="13" t="s">
        <v>634</v>
      </c>
      <c r="B84" s="13" t="s">
        <v>635</v>
      </c>
      <c r="C84" s="13" t="s">
        <v>137</v>
      </c>
      <c r="D84" s="13" t="s">
        <v>507</v>
      </c>
      <c r="E84" s="14" t="str">
        <f ca="1">IFERROR(ycps("UNH","price"),"")</f>
        <v/>
      </c>
      <c r="F84" s="14" t="str">
        <f ca="1">IFERROR(ycps("UNH","one_year_return"),"")</f>
        <v/>
      </c>
      <c r="G84" s="14" t="str">
        <f ca="1">IFERROR(ycps("UNH","three_year_annualized_return"),"")</f>
        <v/>
      </c>
      <c r="H84" s="14" t="str">
        <f ca="1">IFERROR(ycps("UNH","five_year_annualized_return"),"")</f>
        <v/>
      </c>
      <c r="I84" s="14" t="str">
        <f ca="1">IFERROR(ycps("UNH","one_year_volatility"),"")</f>
        <v/>
      </c>
      <c r="J84" s="42">
        <f ca="1">IFERROR(IF(I84=0,0,(F84-'Data Input'!$B$4)/I84),0)</f>
        <v>0</v>
      </c>
      <c r="K84" s="14" t="str">
        <f ca="1">IFERROR(ycps("UNH","max_drawdown_3_year"),"")</f>
        <v/>
      </c>
      <c r="L84" s="14" t="str">
        <f ca="1">IFERROR(ycps("UNH","beta_5_year"),"")</f>
        <v/>
      </c>
      <c r="M84" s="14" t="str">
        <f ca="1">IFERROR(ycps("UNH","dividend_yield"),"")</f>
        <v/>
      </c>
      <c r="N84" s="14" t="str">
        <f ca="1">IFERROR(ycps("UNH","forward_pe_ratio"),"")</f>
        <v/>
      </c>
      <c r="O84" s="14" t="str">
        <f ca="1">IFERROR(ycps("UNH","one_month_return"),"")</f>
        <v/>
      </c>
      <c r="P84" s="14" t="str">
        <f ca="1">IFERROR(ycps("UNH","three_month_return"),"")</f>
        <v/>
      </c>
      <c r="Q84" s="14" t="str">
        <f ca="1">IFERROR(ycps("UNH","six_month_return"),"")</f>
        <v/>
      </c>
      <c r="R84" s="14" t="str">
        <f ca="1">IFERROR(ycps("UNH","one_year_return"),"")</f>
        <v/>
      </c>
      <c r="S84" s="43">
        <f t="shared" ca="1" si="16"/>
        <v>0</v>
      </c>
      <c r="T84" s="43">
        <f t="shared" ca="1" si="17"/>
        <v>0</v>
      </c>
      <c r="U84" s="43">
        <f t="shared" ca="1" si="18"/>
        <v>0</v>
      </c>
      <c r="V84" s="43">
        <f t="shared" ca="1" si="19"/>
        <v>0</v>
      </c>
      <c r="W84" s="43">
        <f ca="1">IFERROR(ROUND(T84*'Data Input'!$B$29+U84*'Data Input'!$B$30+V84*'Data Input'!$B$31+S84*'Data Input'!$B$32,0),0)</f>
        <v>0</v>
      </c>
      <c r="X84" s="17" t="str">
        <f t="shared" ca="1" si="20"/>
        <v>STRONG SELL</v>
      </c>
      <c r="Y84" s="17" t="str">
        <f t="shared" ca="1" si="21"/>
        <v>HIGH</v>
      </c>
      <c r="Z84" s="17" t="str">
        <f>IFERROR(IF(COUNTIF('Asset Analysis'!$A$4:$A$27,A84)&gt;0,"YES","NO"),"")</f>
        <v>NO</v>
      </c>
      <c r="AA84" s="17" t="str">
        <f t="shared" ca="1" si="22"/>
        <v>NOT QUALIFIED</v>
      </c>
      <c r="AB84" s="17" t="str">
        <f t="shared" ca="1" si="23"/>
        <v>—</v>
      </c>
      <c r="AC84" s="11"/>
      <c r="AD84" s="11"/>
    </row>
    <row r="85" spans="1:30" ht="15" customHeight="1" x14ac:dyDescent="0.3">
      <c r="A85" s="13" t="s">
        <v>636</v>
      </c>
      <c r="B85" s="13" t="s">
        <v>637</v>
      </c>
      <c r="C85" s="13" t="s">
        <v>137</v>
      </c>
      <c r="D85" s="13" t="s">
        <v>507</v>
      </c>
      <c r="E85" s="14" t="str">
        <f ca="1">IFERROR(ycps("JNJ","price"),"")</f>
        <v/>
      </c>
      <c r="F85" s="14" t="str">
        <f ca="1">IFERROR(ycps("JNJ","one_year_return"),"")</f>
        <v/>
      </c>
      <c r="G85" s="14" t="str">
        <f ca="1">IFERROR(ycps("JNJ","three_year_annualized_return"),"")</f>
        <v/>
      </c>
      <c r="H85" s="14" t="str">
        <f ca="1">IFERROR(ycps("JNJ","five_year_annualized_return"),"")</f>
        <v/>
      </c>
      <c r="I85" s="14" t="str">
        <f ca="1">IFERROR(ycps("JNJ","one_year_volatility"),"")</f>
        <v/>
      </c>
      <c r="J85" s="42">
        <f ca="1">IFERROR(IF(I85=0,0,(F85-'Data Input'!$B$4)/I85),0)</f>
        <v>0</v>
      </c>
      <c r="K85" s="14" t="str">
        <f ca="1">IFERROR(ycps("JNJ","max_drawdown_3_year"),"")</f>
        <v/>
      </c>
      <c r="L85" s="14" t="str">
        <f ca="1">IFERROR(ycps("JNJ","beta_5_year"),"")</f>
        <v/>
      </c>
      <c r="M85" s="14" t="str">
        <f ca="1">IFERROR(ycps("JNJ","dividend_yield"),"")</f>
        <v/>
      </c>
      <c r="N85" s="14" t="str">
        <f ca="1">IFERROR(ycps("JNJ","forward_pe_ratio"),"")</f>
        <v/>
      </c>
      <c r="O85" s="14" t="str">
        <f ca="1">IFERROR(ycps("JNJ","one_month_return"),"")</f>
        <v/>
      </c>
      <c r="P85" s="14" t="str">
        <f ca="1">IFERROR(ycps("JNJ","three_month_return"),"")</f>
        <v/>
      </c>
      <c r="Q85" s="14" t="str">
        <f ca="1">IFERROR(ycps("JNJ","six_month_return"),"")</f>
        <v/>
      </c>
      <c r="R85" s="14" t="str">
        <f ca="1">IFERROR(ycps("JNJ","one_year_return"),"")</f>
        <v/>
      </c>
      <c r="S85" s="43">
        <f t="shared" ca="1" si="16"/>
        <v>0</v>
      </c>
      <c r="T85" s="43">
        <f t="shared" ca="1" si="17"/>
        <v>0</v>
      </c>
      <c r="U85" s="43">
        <f t="shared" ca="1" si="18"/>
        <v>0</v>
      </c>
      <c r="V85" s="43">
        <f t="shared" ca="1" si="19"/>
        <v>0</v>
      </c>
      <c r="W85" s="43">
        <f ca="1">IFERROR(ROUND(T85*'Data Input'!$B$29+U85*'Data Input'!$B$30+V85*'Data Input'!$B$31+S85*'Data Input'!$B$32,0),0)</f>
        <v>0</v>
      </c>
      <c r="X85" s="17" t="str">
        <f t="shared" ca="1" si="20"/>
        <v>STRONG SELL</v>
      </c>
      <c r="Y85" s="17" t="str">
        <f t="shared" ca="1" si="21"/>
        <v>HIGH</v>
      </c>
      <c r="Z85" s="17" t="str">
        <f>IFERROR(IF(COUNTIF('Asset Analysis'!$A$4:$A$27,A85)&gt;0,"YES","NO"),"")</f>
        <v>NO</v>
      </c>
      <c r="AA85" s="17" t="str">
        <f t="shared" ca="1" si="22"/>
        <v>NOT QUALIFIED</v>
      </c>
      <c r="AB85" s="17" t="str">
        <f t="shared" ca="1" si="23"/>
        <v>—</v>
      </c>
      <c r="AC85" s="11"/>
      <c r="AD85" s="11"/>
    </row>
    <row r="86" spans="1:30" ht="15" customHeight="1" x14ac:dyDescent="0.3">
      <c r="A86" s="13" t="s">
        <v>638</v>
      </c>
      <c r="B86" s="13" t="s">
        <v>639</v>
      </c>
      <c r="C86" s="13" t="s">
        <v>137</v>
      </c>
      <c r="D86" s="13" t="s">
        <v>640</v>
      </c>
      <c r="E86" s="14" t="str">
        <f ca="1">IFERROR(ycps("PG","price"),"")</f>
        <v/>
      </c>
      <c r="F86" s="14" t="str">
        <f ca="1">IFERROR(ycps("PG","one_year_return"),"")</f>
        <v/>
      </c>
      <c r="G86" s="14" t="str">
        <f ca="1">IFERROR(ycps("PG","three_year_annualized_return"),"")</f>
        <v/>
      </c>
      <c r="H86" s="14" t="str">
        <f ca="1">IFERROR(ycps("PG","five_year_annualized_return"),"")</f>
        <v/>
      </c>
      <c r="I86" s="14" t="str">
        <f ca="1">IFERROR(ycps("PG","one_year_volatility"),"")</f>
        <v/>
      </c>
      <c r="J86" s="42">
        <f ca="1">IFERROR(IF(I86=0,0,(F86-'Data Input'!$B$4)/I86),0)</f>
        <v>0</v>
      </c>
      <c r="K86" s="14" t="str">
        <f ca="1">IFERROR(ycps("PG","max_drawdown_3_year"),"")</f>
        <v/>
      </c>
      <c r="L86" s="14" t="str">
        <f ca="1">IFERROR(ycps("PG","beta_5_year"),"")</f>
        <v/>
      </c>
      <c r="M86" s="14" t="str">
        <f ca="1">IFERROR(ycps("PG","dividend_yield"),"")</f>
        <v/>
      </c>
      <c r="N86" s="14" t="str">
        <f ca="1">IFERROR(ycps("PG","forward_pe_ratio"),"")</f>
        <v/>
      </c>
      <c r="O86" s="14" t="str">
        <f ca="1">IFERROR(ycps("PG","one_month_return"),"")</f>
        <v/>
      </c>
      <c r="P86" s="14" t="str">
        <f ca="1">IFERROR(ycps("PG","three_month_return"),"")</f>
        <v/>
      </c>
      <c r="Q86" s="14" t="str">
        <f ca="1">IFERROR(ycps("PG","six_month_return"),"")</f>
        <v/>
      </c>
      <c r="R86" s="14" t="str">
        <f ca="1">IFERROR(ycps("PG","one_year_return"),"")</f>
        <v/>
      </c>
      <c r="S86" s="43">
        <f t="shared" ca="1" si="16"/>
        <v>0</v>
      </c>
      <c r="T86" s="43">
        <f t="shared" ca="1" si="17"/>
        <v>0</v>
      </c>
      <c r="U86" s="43">
        <f t="shared" ca="1" si="18"/>
        <v>0</v>
      </c>
      <c r="V86" s="43">
        <f t="shared" ca="1" si="19"/>
        <v>0</v>
      </c>
      <c r="W86" s="43">
        <f ca="1">IFERROR(ROUND(T86*'Data Input'!$B$29+U86*'Data Input'!$B$30+V86*'Data Input'!$B$31+S86*'Data Input'!$B$32,0),0)</f>
        <v>0</v>
      </c>
      <c r="X86" s="17" t="str">
        <f t="shared" ca="1" si="20"/>
        <v>STRONG SELL</v>
      </c>
      <c r="Y86" s="17" t="str">
        <f t="shared" ca="1" si="21"/>
        <v>HIGH</v>
      </c>
      <c r="Z86" s="17" t="str">
        <f>IFERROR(IF(COUNTIF('Asset Analysis'!$A$4:$A$27,A86)&gt;0,"YES","NO"),"")</f>
        <v>NO</v>
      </c>
      <c r="AA86" s="17" t="str">
        <f t="shared" ca="1" si="22"/>
        <v>NOT QUALIFIED</v>
      </c>
      <c r="AB86" s="17" t="str">
        <f t="shared" ca="1" si="23"/>
        <v>—</v>
      </c>
      <c r="AC86" s="11"/>
      <c r="AD86" s="11"/>
    </row>
    <row r="87" spans="1:30" ht="15" customHeight="1" x14ac:dyDescent="0.3">
      <c r="A87" s="13" t="s">
        <v>141</v>
      </c>
      <c r="B87" s="13" t="s">
        <v>641</v>
      </c>
      <c r="C87" s="13" t="s">
        <v>642</v>
      </c>
      <c r="D87" s="13" t="s">
        <v>480</v>
      </c>
      <c r="E87" s="14" t="str">
        <f ca="1">IFERROR(ycps("VFIAX","price"),"")</f>
        <v/>
      </c>
      <c r="F87" s="14" t="str">
        <f ca="1">IFERROR(ycps("VFIAX","one_year_return"),"")</f>
        <v/>
      </c>
      <c r="G87" s="14" t="str">
        <f ca="1">IFERROR(ycps("VFIAX","three_year_annualized_return"),"")</f>
        <v/>
      </c>
      <c r="H87" s="14" t="str">
        <f ca="1">IFERROR(ycps("VFIAX","five_year_annualized_return"),"")</f>
        <v/>
      </c>
      <c r="I87" s="14" t="str">
        <f ca="1">IFERROR(ycps("VFIAX","one_year_volatility"),"")</f>
        <v/>
      </c>
      <c r="J87" s="42">
        <f ca="1">IFERROR(IF(I87=0,0,(F87-'Data Input'!$B$4)/I87),0)</f>
        <v>0</v>
      </c>
      <c r="K87" s="14" t="str">
        <f ca="1">IFERROR(ycps("VFIAX","max_drawdown_3_year"),"")</f>
        <v/>
      </c>
      <c r="L87" s="14" t="str">
        <f ca="1">IFERROR(ycps("VFIAX","beta_5_year"),"")</f>
        <v/>
      </c>
      <c r="M87" s="14" t="str">
        <f ca="1">IFERROR(ycps("VFIAX","dividend_yield"),"")</f>
        <v/>
      </c>
      <c r="N87" s="14" t="str">
        <f ca="1">IFERROR(ycps("VFIAX","forward_pe_ratio"),"")</f>
        <v/>
      </c>
      <c r="O87" s="14" t="str">
        <f ca="1">IFERROR(ycps("VFIAX","one_month_return"),"")</f>
        <v/>
      </c>
      <c r="P87" s="14" t="str">
        <f ca="1">IFERROR(ycps("VFIAX","three_month_return"),"")</f>
        <v/>
      </c>
      <c r="Q87" s="14" t="str">
        <f ca="1">IFERROR(ycps("VFIAX","six_month_return"),"")</f>
        <v/>
      </c>
      <c r="R87" s="14" t="str">
        <f ca="1">IFERROR(ycps("VFIAX","one_year_return"),"")</f>
        <v/>
      </c>
      <c r="S87" s="43">
        <f t="shared" ca="1" si="16"/>
        <v>0</v>
      </c>
      <c r="T87" s="43">
        <f t="shared" ca="1" si="17"/>
        <v>0</v>
      </c>
      <c r="U87" s="43">
        <f t="shared" ca="1" si="18"/>
        <v>0</v>
      </c>
      <c r="V87" s="43">
        <f t="shared" ca="1" si="19"/>
        <v>0</v>
      </c>
      <c r="W87" s="43">
        <f ca="1">IFERROR(ROUND(T87*'Data Input'!$B$29+U87*'Data Input'!$B$30+V87*'Data Input'!$B$31+S87*'Data Input'!$B$32,0),0)</f>
        <v>0</v>
      </c>
      <c r="X87" s="17" t="str">
        <f t="shared" ca="1" si="20"/>
        <v>STRONG SELL</v>
      </c>
      <c r="Y87" s="17" t="str">
        <f t="shared" ca="1" si="21"/>
        <v>HIGH</v>
      </c>
      <c r="Z87" s="17" t="str">
        <f>IFERROR(IF(COUNTIF('Asset Analysis'!$A$4:$A$27,A87)&gt;0,"YES","NO"),"")</f>
        <v>YES</v>
      </c>
      <c r="AA87" s="17" t="str">
        <f t="shared" ca="1" si="22"/>
        <v>→ DELETE FROM PORTFOLIO</v>
      </c>
      <c r="AB87" s="17" t="str">
        <f t="shared" ca="1" si="23"/>
        <v>P1 — IMMEDIATE</v>
      </c>
      <c r="AC87" s="11"/>
      <c r="AD87" s="11"/>
    </row>
    <row r="88" spans="1:30" ht="15" customHeight="1" x14ac:dyDescent="0.3">
      <c r="A88" s="13" t="s">
        <v>643</v>
      </c>
      <c r="B88" s="13" t="s">
        <v>486</v>
      </c>
      <c r="C88" s="13" t="s">
        <v>642</v>
      </c>
      <c r="D88" s="13" t="s">
        <v>487</v>
      </c>
      <c r="E88" s="14" t="str">
        <f ca="1">IFERROR(ycps("VTSAX","price"),"")</f>
        <v/>
      </c>
      <c r="F88" s="14" t="str">
        <f ca="1">IFERROR(ycps("VTSAX","one_year_return"),"")</f>
        <v/>
      </c>
      <c r="G88" s="14" t="str">
        <f ca="1">IFERROR(ycps("VTSAX","three_year_annualized_return"),"")</f>
        <v/>
      </c>
      <c r="H88" s="14" t="str">
        <f ca="1">IFERROR(ycps("VTSAX","five_year_annualized_return"),"")</f>
        <v/>
      </c>
      <c r="I88" s="14" t="str">
        <f ca="1">IFERROR(ycps("VTSAX","one_year_volatility"),"")</f>
        <v/>
      </c>
      <c r="J88" s="42">
        <f ca="1">IFERROR(IF(I88=0,0,(F88-'Data Input'!$B$4)/I88),0)</f>
        <v>0</v>
      </c>
      <c r="K88" s="14" t="str">
        <f ca="1">IFERROR(ycps("VTSAX","max_drawdown_3_year"),"")</f>
        <v/>
      </c>
      <c r="L88" s="14" t="str">
        <f ca="1">IFERROR(ycps("VTSAX","beta_5_year"),"")</f>
        <v/>
      </c>
      <c r="M88" s="14" t="str">
        <f ca="1">IFERROR(ycps("VTSAX","dividend_yield"),"")</f>
        <v/>
      </c>
      <c r="N88" s="14" t="str">
        <f ca="1">IFERROR(ycps("VTSAX","forward_pe_ratio"),"")</f>
        <v/>
      </c>
      <c r="O88" s="14" t="str">
        <f ca="1">IFERROR(ycps("VTSAX","one_month_return"),"")</f>
        <v/>
      </c>
      <c r="P88" s="14" t="str">
        <f ca="1">IFERROR(ycps("VTSAX","three_month_return"),"")</f>
        <v/>
      </c>
      <c r="Q88" s="14" t="str">
        <f ca="1">IFERROR(ycps("VTSAX","six_month_return"),"")</f>
        <v/>
      </c>
      <c r="R88" s="14" t="str">
        <f ca="1">IFERROR(ycps("VTSAX","one_year_return"),"")</f>
        <v/>
      </c>
      <c r="S88" s="43">
        <f t="shared" ca="1" si="16"/>
        <v>0</v>
      </c>
      <c r="T88" s="43">
        <f t="shared" ca="1" si="17"/>
        <v>0</v>
      </c>
      <c r="U88" s="43">
        <f t="shared" ca="1" si="18"/>
        <v>0</v>
      </c>
      <c r="V88" s="43">
        <f t="shared" ca="1" si="19"/>
        <v>0</v>
      </c>
      <c r="W88" s="43">
        <f ca="1">IFERROR(ROUND(T88*'Data Input'!$B$29+U88*'Data Input'!$B$30+V88*'Data Input'!$B$31+S88*'Data Input'!$B$32,0),0)</f>
        <v>0</v>
      </c>
      <c r="X88" s="17" t="str">
        <f t="shared" ca="1" si="20"/>
        <v>STRONG SELL</v>
      </c>
      <c r="Y88" s="17" t="str">
        <f t="shared" ca="1" si="21"/>
        <v>HIGH</v>
      </c>
      <c r="Z88" s="17" t="str">
        <f>IFERROR(IF(COUNTIF('Asset Analysis'!$A$4:$A$27,A88)&gt;0,"YES","NO"),"")</f>
        <v>NO</v>
      </c>
      <c r="AA88" s="17" t="str">
        <f t="shared" ca="1" si="22"/>
        <v>NOT QUALIFIED</v>
      </c>
      <c r="AB88" s="17" t="str">
        <f t="shared" ca="1" si="23"/>
        <v>—</v>
      </c>
      <c r="AC88" s="11"/>
      <c r="AD88" s="11"/>
    </row>
    <row r="89" spans="1:30" ht="15" customHeight="1" x14ac:dyDescent="0.3">
      <c r="A89" s="13" t="s">
        <v>644</v>
      </c>
      <c r="B89" s="13" t="s">
        <v>565</v>
      </c>
      <c r="C89" s="13" t="s">
        <v>642</v>
      </c>
      <c r="D89" s="13" t="s">
        <v>563</v>
      </c>
      <c r="E89" s="14" t="str">
        <f ca="1">IFERROR(ycps("VBTLX","price"),"")</f>
        <v/>
      </c>
      <c r="F89" s="14" t="str">
        <f ca="1">IFERROR(ycps("VBTLX","one_year_return"),"")</f>
        <v/>
      </c>
      <c r="G89" s="14" t="str">
        <f ca="1">IFERROR(ycps("VBTLX","three_year_annualized_return"),"")</f>
        <v/>
      </c>
      <c r="H89" s="14" t="str">
        <f ca="1">IFERROR(ycps("VBTLX","five_year_annualized_return"),"")</f>
        <v/>
      </c>
      <c r="I89" s="14" t="str">
        <f ca="1">IFERROR(ycps("VBTLX","one_year_volatility"),"")</f>
        <v/>
      </c>
      <c r="J89" s="42">
        <f ca="1">IFERROR(IF(I89=0,0,(F89-'Data Input'!$B$4)/I89),0)</f>
        <v>0</v>
      </c>
      <c r="K89" s="14" t="str">
        <f ca="1">IFERROR(ycps("VBTLX","max_drawdown_3_year"),"")</f>
        <v/>
      </c>
      <c r="L89" s="14" t="str">
        <f ca="1">IFERROR(ycps("VBTLX","beta_5_year"),"")</f>
        <v/>
      </c>
      <c r="M89" s="14" t="str">
        <f ca="1">IFERROR(ycps("VBTLX","dividend_yield"),"")</f>
        <v/>
      </c>
      <c r="N89" s="14" t="str">
        <f ca="1">IFERROR(ycps("VBTLX","forward_pe_ratio"),"")</f>
        <v/>
      </c>
      <c r="O89" s="14" t="str">
        <f ca="1">IFERROR(ycps("VBTLX","one_month_return"),"")</f>
        <v/>
      </c>
      <c r="P89" s="14" t="str">
        <f ca="1">IFERROR(ycps("VBTLX","three_month_return"),"")</f>
        <v/>
      </c>
      <c r="Q89" s="14" t="str">
        <f ca="1">IFERROR(ycps("VBTLX","six_month_return"),"")</f>
        <v/>
      </c>
      <c r="R89" s="14" t="str">
        <f ca="1">IFERROR(ycps("VBTLX","one_year_return"),"")</f>
        <v/>
      </c>
      <c r="S89" s="43">
        <f t="shared" ca="1" si="16"/>
        <v>0</v>
      </c>
      <c r="T89" s="43">
        <f t="shared" ca="1" si="17"/>
        <v>0</v>
      </c>
      <c r="U89" s="43">
        <f t="shared" ca="1" si="18"/>
        <v>0</v>
      </c>
      <c r="V89" s="43">
        <f t="shared" ca="1" si="19"/>
        <v>0</v>
      </c>
      <c r="W89" s="43">
        <f ca="1">IFERROR(ROUND(T89*'Data Input'!$B$29+U89*'Data Input'!$B$30+V89*'Data Input'!$B$31+S89*'Data Input'!$B$32,0),0)</f>
        <v>0</v>
      </c>
      <c r="X89" s="17" t="str">
        <f t="shared" ca="1" si="20"/>
        <v>STRONG SELL</v>
      </c>
      <c r="Y89" s="17" t="str">
        <f t="shared" ca="1" si="21"/>
        <v>HIGH</v>
      </c>
      <c r="Z89" s="17" t="str">
        <f>IFERROR(IF(COUNTIF('Asset Analysis'!$A$4:$A$27,A89)&gt;0,"YES","NO"),"")</f>
        <v>NO</v>
      </c>
      <c r="AA89" s="17" t="str">
        <f t="shared" ca="1" si="22"/>
        <v>NOT QUALIFIED</v>
      </c>
      <c r="AB89" s="17" t="str">
        <f t="shared" ca="1" si="23"/>
        <v>—</v>
      </c>
      <c r="AC89" s="11"/>
      <c r="AD89" s="11"/>
    </row>
    <row r="90" spans="1:30" ht="15" customHeight="1" x14ac:dyDescent="0.3">
      <c r="A90" s="13" t="s">
        <v>142</v>
      </c>
      <c r="B90" s="13" t="s">
        <v>645</v>
      </c>
      <c r="C90" s="13" t="s">
        <v>642</v>
      </c>
      <c r="D90" s="13" t="s">
        <v>646</v>
      </c>
      <c r="E90" s="14" t="str">
        <f ca="1">IFERROR(ycps("PIMIX","price"),"")</f>
        <v/>
      </c>
      <c r="F90" s="14" t="str">
        <f ca="1">IFERROR(ycps("PIMIX","one_year_return"),"")</f>
        <v/>
      </c>
      <c r="G90" s="14" t="str">
        <f ca="1">IFERROR(ycps("PIMIX","three_year_annualized_return"),"")</f>
        <v/>
      </c>
      <c r="H90" s="14" t="str">
        <f ca="1">IFERROR(ycps("PIMIX","five_year_annualized_return"),"")</f>
        <v/>
      </c>
      <c r="I90" s="14" t="str">
        <f ca="1">IFERROR(ycps("PIMIX","one_year_volatility"),"")</f>
        <v/>
      </c>
      <c r="J90" s="42">
        <f ca="1">IFERROR(IF(I90=0,0,(F90-'Data Input'!$B$4)/I90),0)</f>
        <v>0</v>
      </c>
      <c r="K90" s="14" t="str">
        <f ca="1">IFERROR(ycps("PIMIX","max_drawdown_3_year"),"")</f>
        <v/>
      </c>
      <c r="L90" s="14" t="str">
        <f ca="1">IFERROR(ycps("PIMIX","beta_5_year"),"")</f>
        <v/>
      </c>
      <c r="M90" s="14" t="str">
        <f ca="1">IFERROR(ycps("PIMIX","dividend_yield"),"")</f>
        <v/>
      </c>
      <c r="N90" s="14" t="str">
        <f ca="1">IFERROR(ycps("PIMIX","forward_pe_ratio"),"")</f>
        <v/>
      </c>
      <c r="O90" s="14" t="str">
        <f ca="1">IFERROR(ycps("PIMIX","one_month_return"),"")</f>
        <v/>
      </c>
      <c r="P90" s="14" t="str">
        <f ca="1">IFERROR(ycps("PIMIX","three_month_return"),"")</f>
        <v/>
      </c>
      <c r="Q90" s="14" t="str">
        <f ca="1">IFERROR(ycps("PIMIX","six_month_return"),"")</f>
        <v/>
      </c>
      <c r="R90" s="14" t="str">
        <f ca="1">IFERROR(ycps("PIMIX","one_year_return"),"")</f>
        <v/>
      </c>
      <c r="S90" s="43">
        <f t="shared" ca="1" si="16"/>
        <v>0</v>
      </c>
      <c r="T90" s="43">
        <f t="shared" ca="1" si="17"/>
        <v>0</v>
      </c>
      <c r="U90" s="43">
        <f t="shared" ca="1" si="18"/>
        <v>0</v>
      </c>
      <c r="V90" s="43">
        <f t="shared" ca="1" si="19"/>
        <v>0</v>
      </c>
      <c r="W90" s="43">
        <f ca="1">IFERROR(ROUND(T90*'Data Input'!$B$29+U90*'Data Input'!$B$30+V90*'Data Input'!$B$31+S90*'Data Input'!$B$32,0),0)</f>
        <v>0</v>
      </c>
      <c r="X90" s="17" t="str">
        <f t="shared" ca="1" si="20"/>
        <v>STRONG SELL</v>
      </c>
      <c r="Y90" s="17" t="str">
        <f t="shared" ca="1" si="21"/>
        <v>HIGH</v>
      </c>
      <c r="Z90" s="17" t="str">
        <f>IFERROR(IF(COUNTIF('Asset Analysis'!$A$4:$A$27,A90)&gt;0,"YES","NO"),"")</f>
        <v>YES</v>
      </c>
      <c r="AA90" s="17" t="str">
        <f t="shared" ca="1" si="22"/>
        <v>→ DELETE FROM PORTFOLIO</v>
      </c>
      <c r="AB90" s="17" t="str">
        <f t="shared" ca="1" si="23"/>
        <v>P1 — IMMEDIATE</v>
      </c>
      <c r="AC90" s="11"/>
      <c r="AD90" s="11"/>
    </row>
    <row r="91" spans="1:30" ht="15" customHeight="1" x14ac:dyDescent="0.3">
      <c r="A91" s="13" t="s">
        <v>647</v>
      </c>
      <c r="B91" s="13" t="s">
        <v>648</v>
      </c>
      <c r="C91" s="13" t="s">
        <v>642</v>
      </c>
      <c r="D91" s="13" t="s">
        <v>649</v>
      </c>
      <c r="E91" s="14" t="str">
        <f ca="1">IFERROR(ycps("PRWCX","price"),"")</f>
        <v/>
      </c>
      <c r="F91" s="14" t="str">
        <f ca="1">IFERROR(ycps("PRWCX","one_year_return"),"")</f>
        <v/>
      </c>
      <c r="G91" s="14" t="str">
        <f ca="1">IFERROR(ycps("PRWCX","three_year_annualized_return"),"")</f>
        <v/>
      </c>
      <c r="H91" s="14" t="str">
        <f ca="1">IFERROR(ycps("PRWCX","five_year_annualized_return"),"")</f>
        <v/>
      </c>
      <c r="I91" s="14" t="str">
        <f ca="1">IFERROR(ycps("PRWCX","one_year_volatility"),"")</f>
        <v/>
      </c>
      <c r="J91" s="42">
        <f ca="1">IFERROR(IF(I91=0,0,(F91-'Data Input'!$B$4)/I91),0)</f>
        <v>0</v>
      </c>
      <c r="K91" s="14" t="str">
        <f ca="1">IFERROR(ycps("PRWCX","max_drawdown_3_year"),"")</f>
        <v/>
      </c>
      <c r="L91" s="14" t="str">
        <f ca="1">IFERROR(ycps("PRWCX","beta_5_year"),"")</f>
        <v/>
      </c>
      <c r="M91" s="14" t="str">
        <f ca="1">IFERROR(ycps("PRWCX","dividend_yield"),"")</f>
        <v/>
      </c>
      <c r="N91" s="14" t="str">
        <f ca="1">IFERROR(ycps("PRWCX","forward_pe_ratio"),"")</f>
        <v/>
      </c>
      <c r="O91" s="14" t="str">
        <f ca="1">IFERROR(ycps("PRWCX","one_month_return"),"")</f>
        <v/>
      </c>
      <c r="P91" s="14" t="str">
        <f ca="1">IFERROR(ycps("PRWCX","three_month_return"),"")</f>
        <v/>
      </c>
      <c r="Q91" s="14" t="str">
        <f ca="1">IFERROR(ycps("PRWCX","six_month_return"),"")</f>
        <v/>
      </c>
      <c r="R91" s="14" t="str">
        <f ca="1">IFERROR(ycps("PRWCX","one_year_return"),"")</f>
        <v/>
      </c>
      <c r="S91" s="43">
        <f t="shared" ca="1" si="16"/>
        <v>0</v>
      </c>
      <c r="T91" s="43">
        <f t="shared" ca="1" si="17"/>
        <v>0</v>
      </c>
      <c r="U91" s="43">
        <f t="shared" ca="1" si="18"/>
        <v>0</v>
      </c>
      <c r="V91" s="43">
        <f t="shared" ca="1" si="19"/>
        <v>0</v>
      </c>
      <c r="W91" s="43">
        <f ca="1">IFERROR(ROUND(T91*'Data Input'!$B$29+U91*'Data Input'!$B$30+V91*'Data Input'!$B$31+S91*'Data Input'!$B$32,0),0)</f>
        <v>0</v>
      </c>
      <c r="X91" s="17" t="str">
        <f t="shared" ca="1" si="20"/>
        <v>STRONG SELL</v>
      </c>
      <c r="Y91" s="17" t="str">
        <f t="shared" ca="1" si="21"/>
        <v>HIGH</v>
      </c>
      <c r="Z91" s="17" t="str">
        <f>IFERROR(IF(COUNTIF('Asset Analysis'!$A$4:$A$27,A91)&gt;0,"YES","NO"),"")</f>
        <v>NO</v>
      </c>
      <c r="AA91" s="17" t="str">
        <f t="shared" ca="1" si="22"/>
        <v>NOT QUALIFIED</v>
      </c>
      <c r="AB91" s="17" t="str">
        <f t="shared" ca="1" si="23"/>
        <v>—</v>
      </c>
      <c r="AC91" s="11"/>
      <c r="AD91" s="11"/>
    </row>
    <row r="92" spans="1:30" ht="15" customHeight="1" x14ac:dyDescent="0.3">
      <c r="A92" s="13" t="s">
        <v>650</v>
      </c>
      <c r="B92" s="13" t="s">
        <v>651</v>
      </c>
      <c r="C92" s="13" t="s">
        <v>642</v>
      </c>
      <c r="D92" s="13" t="s">
        <v>484</v>
      </c>
      <c r="E92" s="14" t="str">
        <f ca="1">IFERROR(ycps("TRBCX","price"),"")</f>
        <v/>
      </c>
      <c r="F92" s="14" t="str">
        <f ca="1">IFERROR(ycps("TRBCX","one_year_return"),"")</f>
        <v/>
      </c>
      <c r="G92" s="14" t="str">
        <f ca="1">IFERROR(ycps("TRBCX","three_year_annualized_return"),"")</f>
        <v/>
      </c>
      <c r="H92" s="14" t="str">
        <f ca="1">IFERROR(ycps("TRBCX","five_year_annualized_return"),"")</f>
        <v/>
      </c>
      <c r="I92" s="14" t="str">
        <f ca="1">IFERROR(ycps("TRBCX","one_year_volatility"),"")</f>
        <v/>
      </c>
      <c r="J92" s="42">
        <f ca="1">IFERROR(IF(I92=0,0,(F92-'Data Input'!$B$4)/I92),0)</f>
        <v>0</v>
      </c>
      <c r="K92" s="14" t="str">
        <f ca="1">IFERROR(ycps("TRBCX","max_drawdown_3_year"),"")</f>
        <v/>
      </c>
      <c r="L92" s="14" t="str">
        <f ca="1">IFERROR(ycps("TRBCX","beta_5_year"),"")</f>
        <v/>
      </c>
      <c r="M92" s="14" t="str">
        <f ca="1">IFERROR(ycps("TRBCX","dividend_yield"),"")</f>
        <v/>
      </c>
      <c r="N92" s="14" t="str">
        <f ca="1">IFERROR(ycps("TRBCX","forward_pe_ratio"),"")</f>
        <v/>
      </c>
      <c r="O92" s="14" t="str">
        <f ca="1">IFERROR(ycps("TRBCX","one_month_return"),"")</f>
        <v/>
      </c>
      <c r="P92" s="14" t="str">
        <f ca="1">IFERROR(ycps("TRBCX","three_month_return"),"")</f>
        <v/>
      </c>
      <c r="Q92" s="14" t="str">
        <f ca="1">IFERROR(ycps("TRBCX","six_month_return"),"")</f>
        <v/>
      </c>
      <c r="R92" s="14" t="str">
        <f ca="1">IFERROR(ycps("TRBCX","one_year_return"),"")</f>
        <v/>
      </c>
      <c r="S92" s="43">
        <f t="shared" ca="1" si="16"/>
        <v>0</v>
      </c>
      <c r="T92" s="43">
        <f t="shared" ca="1" si="17"/>
        <v>0</v>
      </c>
      <c r="U92" s="43">
        <f t="shared" ca="1" si="18"/>
        <v>0</v>
      </c>
      <c r="V92" s="43">
        <f t="shared" ca="1" si="19"/>
        <v>0</v>
      </c>
      <c r="W92" s="43">
        <f ca="1">IFERROR(ROUND(T92*'Data Input'!$B$29+U92*'Data Input'!$B$30+V92*'Data Input'!$B$31+S92*'Data Input'!$B$32,0),0)</f>
        <v>0</v>
      </c>
      <c r="X92" s="17" t="str">
        <f t="shared" ca="1" si="20"/>
        <v>STRONG SELL</v>
      </c>
      <c r="Y92" s="17" t="str">
        <f t="shared" ca="1" si="21"/>
        <v>HIGH</v>
      </c>
      <c r="Z92" s="17" t="str">
        <f>IFERROR(IF(COUNTIF('Asset Analysis'!$A$4:$A$27,A92)&gt;0,"YES","NO"),"")</f>
        <v>NO</v>
      </c>
      <c r="AA92" s="17" t="str">
        <f t="shared" ca="1" si="22"/>
        <v>NOT QUALIFIED</v>
      </c>
      <c r="AB92" s="17" t="str">
        <f t="shared" ca="1" si="23"/>
        <v>—</v>
      </c>
      <c r="AC92" s="11"/>
      <c r="AD92" s="11"/>
    </row>
    <row r="93" spans="1:30" ht="15" customHeight="1" x14ac:dyDescent="0.3">
      <c r="A93" s="13" t="s">
        <v>652</v>
      </c>
      <c r="B93" s="13" t="s">
        <v>653</v>
      </c>
      <c r="C93" s="13" t="s">
        <v>642</v>
      </c>
      <c r="D93" s="13" t="s">
        <v>649</v>
      </c>
      <c r="E93" s="14" t="str">
        <f ca="1">IFERROR(ycps("VWELX","price"),"")</f>
        <v/>
      </c>
      <c r="F93" s="14" t="str">
        <f ca="1">IFERROR(ycps("VWELX","one_year_return"),"")</f>
        <v/>
      </c>
      <c r="G93" s="14" t="str">
        <f ca="1">IFERROR(ycps("VWELX","three_year_annualized_return"),"")</f>
        <v/>
      </c>
      <c r="H93" s="14" t="str">
        <f ca="1">IFERROR(ycps("VWELX","five_year_annualized_return"),"")</f>
        <v/>
      </c>
      <c r="I93" s="14" t="str">
        <f ca="1">IFERROR(ycps("VWELX","one_year_volatility"),"")</f>
        <v/>
      </c>
      <c r="J93" s="42">
        <f ca="1">IFERROR(IF(I93=0,0,(F93-'Data Input'!$B$4)/I93),0)</f>
        <v>0</v>
      </c>
      <c r="K93" s="14" t="str">
        <f ca="1">IFERROR(ycps("VWELX","max_drawdown_3_year"),"")</f>
        <v/>
      </c>
      <c r="L93" s="14" t="str">
        <f ca="1">IFERROR(ycps("VWELX","beta_5_year"),"")</f>
        <v/>
      </c>
      <c r="M93" s="14" t="str">
        <f ca="1">IFERROR(ycps("VWELX","dividend_yield"),"")</f>
        <v/>
      </c>
      <c r="N93" s="14" t="str">
        <f ca="1">IFERROR(ycps("VWELX","forward_pe_ratio"),"")</f>
        <v/>
      </c>
      <c r="O93" s="14" t="str">
        <f ca="1">IFERROR(ycps("VWELX","one_month_return"),"")</f>
        <v/>
      </c>
      <c r="P93" s="14" t="str">
        <f ca="1">IFERROR(ycps("VWELX","three_month_return"),"")</f>
        <v/>
      </c>
      <c r="Q93" s="14" t="str">
        <f ca="1">IFERROR(ycps("VWELX","six_month_return"),"")</f>
        <v/>
      </c>
      <c r="R93" s="14" t="str">
        <f ca="1">IFERROR(ycps("VWELX","one_year_return"),"")</f>
        <v/>
      </c>
      <c r="S93" s="43">
        <f t="shared" ca="1" si="16"/>
        <v>0</v>
      </c>
      <c r="T93" s="43">
        <f t="shared" ca="1" si="17"/>
        <v>0</v>
      </c>
      <c r="U93" s="43">
        <f t="shared" ca="1" si="18"/>
        <v>0</v>
      </c>
      <c r="V93" s="43">
        <f t="shared" ca="1" si="19"/>
        <v>0</v>
      </c>
      <c r="W93" s="43">
        <f ca="1">IFERROR(ROUND(T93*'Data Input'!$B$29+U93*'Data Input'!$B$30+V93*'Data Input'!$B$31+S93*'Data Input'!$B$32,0),0)</f>
        <v>0</v>
      </c>
      <c r="X93" s="17" t="str">
        <f t="shared" ca="1" si="20"/>
        <v>STRONG SELL</v>
      </c>
      <c r="Y93" s="17" t="str">
        <f t="shared" ca="1" si="21"/>
        <v>HIGH</v>
      </c>
      <c r="Z93" s="17" t="str">
        <f>IFERROR(IF(COUNTIF('Asset Analysis'!$A$4:$A$27,A93)&gt;0,"YES","NO"),"")</f>
        <v>NO</v>
      </c>
      <c r="AA93" s="17" t="str">
        <f t="shared" ca="1" si="22"/>
        <v>NOT QUALIFIED</v>
      </c>
      <c r="AB93" s="17" t="str">
        <f t="shared" ca="1" si="23"/>
        <v>—</v>
      </c>
      <c r="AC93" s="11"/>
      <c r="AD93" s="11"/>
    </row>
    <row r="94" spans="1:30" ht="15" customHeight="1" x14ac:dyDescent="0.3">
      <c r="A94" s="13" t="s">
        <v>654</v>
      </c>
      <c r="B94" s="13" t="s">
        <v>655</v>
      </c>
      <c r="C94" s="13" t="s">
        <v>642</v>
      </c>
      <c r="D94" s="13" t="s">
        <v>656</v>
      </c>
      <c r="E94" s="14" t="str">
        <f ca="1">IFERROR(ycps("OAKMX","price"),"")</f>
        <v/>
      </c>
      <c r="F94" s="14" t="str">
        <f ca="1">IFERROR(ycps("OAKMX","one_year_return"),"")</f>
        <v/>
      </c>
      <c r="G94" s="14" t="str">
        <f ca="1">IFERROR(ycps("OAKMX","three_year_annualized_return"),"")</f>
        <v/>
      </c>
      <c r="H94" s="14" t="str">
        <f ca="1">IFERROR(ycps("OAKMX","five_year_annualized_return"),"")</f>
        <v/>
      </c>
      <c r="I94" s="14" t="str">
        <f ca="1">IFERROR(ycps("OAKMX","one_year_volatility"),"")</f>
        <v/>
      </c>
      <c r="J94" s="42">
        <f ca="1">IFERROR(IF(I94=0,0,(F94-'Data Input'!$B$4)/I94),0)</f>
        <v>0</v>
      </c>
      <c r="K94" s="14" t="str">
        <f ca="1">IFERROR(ycps("OAKMX","max_drawdown_3_year"),"")</f>
        <v/>
      </c>
      <c r="L94" s="14" t="str">
        <f ca="1">IFERROR(ycps("OAKMX","beta_5_year"),"")</f>
        <v/>
      </c>
      <c r="M94" s="14" t="str">
        <f ca="1">IFERROR(ycps("OAKMX","dividend_yield"),"")</f>
        <v/>
      </c>
      <c r="N94" s="14" t="str">
        <f ca="1">IFERROR(ycps("OAKMX","forward_pe_ratio"),"")</f>
        <v/>
      </c>
      <c r="O94" s="14" t="str">
        <f ca="1">IFERROR(ycps("OAKMX","one_month_return"),"")</f>
        <v/>
      </c>
      <c r="P94" s="14" t="str">
        <f ca="1">IFERROR(ycps("OAKMX","three_month_return"),"")</f>
        <v/>
      </c>
      <c r="Q94" s="14" t="str">
        <f ca="1">IFERROR(ycps("OAKMX","six_month_return"),"")</f>
        <v/>
      </c>
      <c r="R94" s="14" t="str">
        <f ca="1">IFERROR(ycps("OAKMX","one_year_return"),"")</f>
        <v/>
      </c>
      <c r="S94" s="43">
        <f t="shared" ca="1" si="16"/>
        <v>0</v>
      </c>
      <c r="T94" s="43">
        <f t="shared" ca="1" si="17"/>
        <v>0</v>
      </c>
      <c r="U94" s="43">
        <f t="shared" ca="1" si="18"/>
        <v>0</v>
      </c>
      <c r="V94" s="43">
        <f t="shared" ca="1" si="19"/>
        <v>0</v>
      </c>
      <c r="W94" s="43">
        <f ca="1">IFERROR(ROUND(T94*'Data Input'!$B$29+U94*'Data Input'!$B$30+V94*'Data Input'!$B$31+S94*'Data Input'!$B$32,0),0)</f>
        <v>0</v>
      </c>
      <c r="X94" s="17" t="str">
        <f t="shared" ca="1" si="20"/>
        <v>STRONG SELL</v>
      </c>
      <c r="Y94" s="17" t="str">
        <f t="shared" ca="1" si="21"/>
        <v>HIGH</v>
      </c>
      <c r="Z94" s="17" t="str">
        <f>IFERROR(IF(COUNTIF('Asset Analysis'!$A$4:$A$27,A94)&gt;0,"YES","NO"),"")</f>
        <v>NO</v>
      </c>
      <c r="AA94" s="17" t="str">
        <f t="shared" ca="1" si="22"/>
        <v>NOT QUALIFIED</v>
      </c>
      <c r="AB94" s="17" t="str">
        <f t="shared" ca="1" si="23"/>
        <v>—</v>
      </c>
      <c r="AC94" s="11"/>
      <c r="AD94" s="11"/>
    </row>
    <row r="95" spans="1:30" ht="15" customHeight="1" x14ac:dyDescent="0.3">
      <c r="A95" s="13" t="s">
        <v>657</v>
      </c>
      <c r="B95" s="13" t="s">
        <v>658</v>
      </c>
      <c r="C95" s="13" t="s">
        <v>659</v>
      </c>
      <c r="D95" s="13" t="s">
        <v>660</v>
      </c>
      <c r="E95" s="14" t="str">
        <f ca="1">IFERROR(ycps("ARKK","price"),"")</f>
        <v/>
      </c>
      <c r="F95" s="14" t="str">
        <f ca="1">IFERROR(ycps("ARKK","one_year_return"),"")</f>
        <v/>
      </c>
      <c r="G95" s="14" t="str">
        <f ca="1">IFERROR(ycps("ARKK","three_year_annualized_return"),"")</f>
        <v/>
      </c>
      <c r="H95" s="14" t="str">
        <f ca="1">IFERROR(ycps("ARKK","five_year_annualized_return"),"")</f>
        <v/>
      </c>
      <c r="I95" s="14" t="str">
        <f ca="1">IFERROR(ycps("ARKK","one_year_volatility"),"")</f>
        <v/>
      </c>
      <c r="J95" s="42">
        <f ca="1">IFERROR(IF(I95=0,0,(F95-'Data Input'!$B$4)/I95),0)</f>
        <v>0</v>
      </c>
      <c r="K95" s="14" t="str">
        <f ca="1">IFERROR(ycps("ARKK","max_drawdown_3_year"),"")</f>
        <v/>
      </c>
      <c r="L95" s="14" t="str">
        <f ca="1">IFERROR(ycps("ARKK","beta_5_year"),"")</f>
        <v/>
      </c>
      <c r="M95" s="14" t="str">
        <f ca="1">IFERROR(ycps("ARKK","dividend_yield"),"")</f>
        <v/>
      </c>
      <c r="N95" s="14" t="str">
        <f ca="1">IFERROR(ycps("ARKK","forward_pe_ratio"),"")</f>
        <v/>
      </c>
      <c r="O95" s="14" t="str">
        <f ca="1">IFERROR(ycps("ARKK","one_month_return"),"")</f>
        <v/>
      </c>
      <c r="P95" s="14" t="str">
        <f ca="1">IFERROR(ycps("ARKK","three_month_return"),"")</f>
        <v/>
      </c>
      <c r="Q95" s="14" t="str">
        <f ca="1">IFERROR(ycps("ARKK","six_month_return"),"")</f>
        <v/>
      </c>
      <c r="R95" s="14" t="str">
        <f ca="1">IFERROR(ycps("ARKK","one_year_return"),"")</f>
        <v/>
      </c>
      <c r="S95" s="43">
        <f t="shared" ca="1" si="16"/>
        <v>0</v>
      </c>
      <c r="T95" s="43">
        <f t="shared" ca="1" si="17"/>
        <v>0</v>
      </c>
      <c r="U95" s="43">
        <f t="shared" ca="1" si="18"/>
        <v>0</v>
      </c>
      <c r="V95" s="43">
        <f t="shared" ca="1" si="19"/>
        <v>0</v>
      </c>
      <c r="W95" s="43">
        <f ca="1">IFERROR(ROUND(T95*'Data Input'!$B$29+U95*'Data Input'!$B$30+V95*'Data Input'!$B$31+S95*'Data Input'!$B$32,0),0)</f>
        <v>0</v>
      </c>
      <c r="X95" s="17" t="str">
        <f t="shared" ca="1" si="20"/>
        <v>STRONG SELL</v>
      </c>
      <c r="Y95" s="17" t="str">
        <f t="shared" ca="1" si="21"/>
        <v>HIGH</v>
      </c>
      <c r="Z95" s="17" t="str">
        <f>IFERROR(IF(COUNTIF('Asset Analysis'!$A$4:$A$27,A95)&gt;0,"YES","NO"),"")</f>
        <v>NO</v>
      </c>
      <c r="AA95" s="17" t="str">
        <f t="shared" ca="1" si="22"/>
        <v>NOT QUALIFIED</v>
      </c>
      <c r="AB95" s="17" t="str">
        <f t="shared" ca="1" si="23"/>
        <v>—</v>
      </c>
      <c r="AC95" s="11"/>
      <c r="AD95" s="11"/>
    </row>
    <row r="96" spans="1:30" ht="15" customHeight="1" x14ac:dyDescent="0.3">
      <c r="A96" s="13" t="s">
        <v>661</v>
      </c>
      <c r="B96" s="13" t="s">
        <v>662</v>
      </c>
      <c r="C96" s="13" t="s">
        <v>659</v>
      </c>
      <c r="D96" s="13" t="s">
        <v>663</v>
      </c>
      <c r="E96" s="14" t="str">
        <f ca="1">IFERROR(ycps("HACK","price"),"")</f>
        <v/>
      </c>
      <c r="F96" s="14" t="str">
        <f ca="1">IFERROR(ycps("HACK","one_year_return"),"")</f>
        <v/>
      </c>
      <c r="G96" s="14" t="str">
        <f ca="1">IFERROR(ycps("HACK","three_year_annualized_return"),"")</f>
        <v/>
      </c>
      <c r="H96" s="14" t="str">
        <f ca="1">IFERROR(ycps("HACK","five_year_annualized_return"),"")</f>
        <v/>
      </c>
      <c r="I96" s="14" t="str">
        <f ca="1">IFERROR(ycps("HACK","one_year_volatility"),"")</f>
        <v/>
      </c>
      <c r="J96" s="42">
        <f ca="1">IFERROR(IF(I96=0,0,(F96-'Data Input'!$B$4)/I96),0)</f>
        <v>0</v>
      </c>
      <c r="K96" s="14" t="str">
        <f ca="1">IFERROR(ycps("HACK","max_drawdown_3_year"),"")</f>
        <v/>
      </c>
      <c r="L96" s="14" t="str">
        <f ca="1">IFERROR(ycps("HACK","beta_5_year"),"")</f>
        <v/>
      </c>
      <c r="M96" s="14" t="str">
        <f ca="1">IFERROR(ycps("HACK","dividend_yield"),"")</f>
        <v/>
      </c>
      <c r="N96" s="14" t="str">
        <f ca="1">IFERROR(ycps("HACK","forward_pe_ratio"),"")</f>
        <v/>
      </c>
      <c r="O96" s="14" t="str">
        <f ca="1">IFERROR(ycps("HACK","one_month_return"),"")</f>
        <v/>
      </c>
      <c r="P96" s="14" t="str">
        <f ca="1">IFERROR(ycps("HACK","three_month_return"),"")</f>
        <v/>
      </c>
      <c r="Q96" s="14" t="str">
        <f ca="1">IFERROR(ycps("HACK","six_month_return"),"")</f>
        <v/>
      </c>
      <c r="R96" s="14" t="str">
        <f ca="1">IFERROR(ycps("HACK","one_year_return"),"")</f>
        <v/>
      </c>
      <c r="S96" s="43">
        <f t="shared" ca="1" si="16"/>
        <v>0</v>
      </c>
      <c r="T96" s="43">
        <f t="shared" ca="1" si="17"/>
        <v>0</v>
      </c>
      <c r="U96" s="43">
        <f t="shared" ca="1" si="18"/>
        <v>0</v>
      </c>
      <c r="V96" s="43">
        <f t="shared" ca="1" si="19"/>
        <v>0</v>
      </c>
      <c r="W96" s="43">
        <f ca="1">IFERROR(ROUND(T96*'Data Input'!$B$29+U96*'Data Input'!$B$30+V96*'Data Input'!$B$31+S96*'Data Input'!$B$32,0),0)</f>
        <v>0</v>
      </c>
      <c r="X96" s="17" t="str">
        <f t="shared" ca="1" si="20"/>
        <v>STRONG SELL</v>
      </c>
      <c r="Y96" s="17" t="str">
        <f t="shared" ca="1" si="21"/>
        <v>HIGH</v>
      </c>
      <c r="Z96" s="17" t="str">
        <f>IFERROR(IF(COUNTIF('Asset Analysis'!$A$4:$A$27,A96)&gt;0,"YES","NO"),"")</f>
        <v>NO</v>
      </c>
      <c r="AA96" s="17" t="str">
        <f t="shared" ca="1" si="22"/>
        <v>NOT QUALIFIED</v>
      </c>
      <c r="AB96" s="17" t="str">
        <f t="shared" ca="1" si="23"/>
        <v>—</v>
      </c>
      <c r="AC96" s="11"/>
      <c r="AD96" s="11"/>
    </row>
    <row r="97" spans="1:30" ht="15" customHeight="1" x14ac:dyDescent="0.3">
      <c r="A97" s="13" t="s">
        <v>664</v>
      </c>
      <c r="B97" s="13" t="s">
        <v>665</v>
      </c>
      <c r="C97" s="13" t="s">
        <v>659</v>
      </c>
      <c r="D97" s="13" t="s">
        <v>666</v>
      </c>
      <c r="E97" s="14" t="str">
        <f ca="1">IFERROR(ycps("ICLN","price"),"")</f>
        <v/>
      </c>
      <c r="F97" s="14" t="str">
        <f ca="1">IFERROR(ycps("ICLN","one_year_return"),"")</f>
        <v/>
      </c>
      <c r="G97" s="14" t="str">
        <f ca="1">IFERROR(ycps("ICLN","three_year_annualized_return"),"")</f>
        <v/>
      </c>
      <c r="H97" s="14" t="str">
        <f ca="1">IFERROR(ycps("ICLN","five_year_annualized_return"),"")</f>
        <v/>
      </c>
      <c r="I97" s="14" t="str">
        <f ca="1">IFERROR(ycps("ICLN","one_year_volatility"),"")</f>
        <v/>
      </c>
      <c r="J97" s="42">
        <f ca="1">IFERROR(IF(I97=0,0,(F97-'Data Input'!$B$4)/I97),0)</f>
        <v>0</v>
      </c>
      <c r="K97" s="14" t="str">
        <f ca="1">IFERROR(ycps("ICLN","max_drawdown_3_year"),"")</f>
        <v/>
      </c>
      <c r="L97" s="14" t="str">
        <f ca="1">IFERROR(ycps("ICLN","beta_5_year"),"")</f>
        <v/>
      </c>
      <c r="M97" s="14" t="str">
        <f ca="1">IFERROR(ycps("ICLN","dividend_yield"),"")</f>
        <v/>
      </c>
      <c r="N97" s="14" t="str">
        <f ca="1">IFERROR(ycps("ICLN","forward_pe_ratio"),"")</f>
        <v/>
      </c>
      <c r="O97" s="14" t="str">
        <f ca="1">IFERROR(ycps("ICLN","one_month_return"),"")</f>
        <v/>
      </c>
      <c r="P97" s="14" t="str">
        <f ca="1">IFERROR(ycps("ICLN","three_month_return"),"")</f>
        <v/>
      </c>
      <c r="Q97" s="14" t="str">
        <f ca="1">IFERROR(ycps("ICLN","six_month_return"),"")</f>
        <v/>
      </c>
      <c r="R97" s="14" t="str">
        <f ca="1">IFERROR(ycps("ICLN","one_year_return"),"")</f>
        <v/>
      </c>
      <c r="S97" s="43">
        <f t="shared" ca="1" si="16"/>
        <v>0</v>
      </c>
      <c r="T97" s="43">
        <f t="shared" ca="1" si="17"/>
        <v>0</v>
      </c>
      <c r="U97" s="43">
        <f t="shared" ca="1" si="18"/>
        <v>0</v>
      </c>
      <c r="V97" s="43">
        <f t="shared" ca="1" si="19"/>
        <v>0</v>
      </c>
      <c r="W97" s="43">
        <f ca="1">IFERROR(ROUND(T97*'Data Input'!$B$29+U97*'Data Input'!$B$30+V97*'Data Input'!$B$31+S97*'Data Input'!$B$32,0),0)</f>
        <v>0</v>
      </c>
      <c r="X97" s="17" t="str">
        <f t="shared" ca="1" si="20"/>
        <v>STRONG SELL</v>
      </c>
      <c r="Y97" s="17" t="str">
        <f t="shared" ca="1" si="21"/>
        <v>HIGH</v>
      </c>
      <c r="Z97" s="17" t="str">
        <f>IFERROR(IF(COUNTIF('Asset Analysis'!$A$4:$A$27,A97)&gt;0,"YES","NO"),"")</f>
        <v>NO</v>
      </c>
      <c r="AA97" s="17" t="str">
        <f t="shared" ca="1" si="22"/>
        <v>NOT QUALIFIED</v>
      </c>
      <c r="AB97" s="17" t="str">
        <f t="shared" ca="1" si="23"/>
        <v>—</v>
      </c>
      <c r="AC97" s="11"/>
      <c r="AD97" s="11"/>
    </row>
    <row r="98" spans="1:30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" customHeight="1" x14ac:dyDescent="0.3">
      <c r="A99" s="69" t="s">
        <v>667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" customHeight="1" x14ac:dyDescent="0.3">
      <c r="A100" s="19" t="s">
        <v>668</v>
      </c>
      <c r="B100" s="43">
        <f>COUNTA(A17:A97)</f>
        <v>81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" customHeight="1" x14ac:dyDescent="0.3">
      <c r="A101" s="19" t="s">
        <v>669</v>
      </c>
      <c r="B101" s="43">
        <f>COUNTIF(Z17:Z97,"YES")</f>
        <v>24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" customHeight="1" x14ac:dyDescent="0.3">
      <c r="A102" s="19" t="s">
        <v>670</v>
      </c>
      <c r="B102" s="43">
        <f ca="1">COUNTIF(AA17:AA97,"→ ADD*")</f>
        <v>0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" customHeight="1" x14ac:dyDescent="0.3">
      <c r="A103" s="19" t="s">
        <v>671</v>
      </c>
      <c r="B103" s="43">
        <f ca="1">COUNTIF(AA17:AA97,"→ DELETE*")</f>
        <v>24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" customHeight="1" x14ac:dyDescent="0.3">
      <c r="A104" s="19" t="s">
        <v>672</v>
      </c>
      <c r="B104" s="43">
        <f ca="1">COUNTIF(X17:X97,"*BUY*")</f>
        <v>0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" customHeight="1" x14ac:dyDescent="0.3">
      <c r="A105" s="19" t="s">
        <v>256</v>
      </c>
      <c r="B105" s="43">
        <f ca="1">COUNTIF(X17:X97,"*SELL*")</f>
        <v>81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" customHeight="1" x14ac:dyDescent="0.3">
      <c r="A106" s="19" t="s">
        <v>673</v>
      </c>
      <c r="B106" s="42">
        <f ca="1">AVERAGE(W17:W97)</f>
        <v>0</v>
      </c>
    </row>
    <row r="107" spans="1:30" ht="15" customHeight="1" x14ac:dyDescent="0.3">
      <c r="A107" s="19" t="s">
        <v>674</v>
      </c>
      <c r="B107" s="42">
        <f ca="1">AVERAGE(J17:J97)</f>
        <v>0</v>
      </c>
    </row>
    <row r="108" spans="1:30" ht="15" customHeight="1" x14ac:dyDescent="0.3">
      <c r="A108" s="19" t="s">
        <v>675</v>
      </c>
      <c r="B108" s="43">
        <f ca="1">COUNTIF(AB17:AB97,"P1*")</f>
        <v>24</v>
      </c>
    </row>
    <row r="111" spans="1:30" ht="15" customHeight="1" x14ac:dyDescent="0.3">
      <c r="A111" s="78" t="s">
        <v>676</v>
      </c>
    </row>
    <row r="112" spans="1:30" ht="15" customHeight="1" x14ac:dyDescent="0.3">
      <c r="A112" s="31" t="s">
        <v>677</v>
      </c>
    </row>
    <row r="114" spans="1:1" ht="15" customHeight="1" x14ac:dyDescent="0.3">
      <c r="A114" s="79" t="s">
        <v>678</v>
      </c>
    </row>
    <row r="115" spans="1:1" ht="15" customHeight="1" x14ac:dyDescent="0.3">
      <c r="A115" s="31" t="s">
        <v>679</v>
      </c>
    </row>
  </sheetData>
  <autoFilter ref="A16:AB97" xr:uid="{00000000-0009-0000-0000-000009000000}"/>
  <mergeCells count="1">
    <mergeCell ref="A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6B6D4"/>
  </sheetPr>
  <dimension ref="A1:N65"/>
  <sheetViews>
    <sheetView zoomScaleNormal="100" workbookViewId="0"/>
  </sheetViews>
  <sheetFormatPr defaultColWidth="8.6640625" defaultRowHeight="14.4" x14ac:dyDescent="0.3"/>
  <cols>
    <col min="1" max="1" width="22" customWidth="1"/>
    <col min="2" max="3" width="14" customWidth="1"/>
    <col min="4" max="4" width="16" customWidth="1"/>
    <col min="5" max="5" width="14" customWidth="1"/>
    <col min="6" max="6" width="12" customWidth="1"/>
    <col min="7" max="7" width="20" customWidth="1"/>
    <col min="8" max="10" width="14" customWidth="1"/>
  </cols>
  <sheetData>
    <row r="1" spans="1:14" ht="17.25" customHeight="1" x14ac:dyDescent="0.3">
      <c r="A1" s="10" t="s">
        <v>680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8" t="s">
        <v>681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1"/>
      <c r="N2" s="11"/>
    </row>
    <row r="3" spans="1:14" ht="1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3">
      <c r="A4" s="18" t="s">
        <v>682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5" customHeight="1" x14ac:dyDescent="0.3">
      <c r="A5" s="19" t="s">
        <v>14</v>
      </c>
      <c r="B5" s="60">
        <f>'Data Input'!B8</f>
        <v>100000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3">
      <c r="A6" s="19" t="s">
        <v>683</v>
      </c>
      <c r="B6" s="61">
        <f>Dashboard!D5</f>
        <v>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15" customHeight="1" x14ac:dyDescent="0.3">
      <c r="A7" s="19" t="s">
        <v>684</v>
      </c>
      <c r="B7" s="61">
        <f>Dashboard!F5</f>
        <v>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5" customHeight="1" x14ac:dyDescent="0.3">
      <c r="A8" s="19" t="s">
        <v>685</v>
      </c>
      <c r="B8" s="53">
        <f>Dashboard!L5</f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5" customHeight="1" x14ac:dyDescent="0.3">
      <c r="A9" s="19" t="s">
        <v>8</v>
      </c>
      <c r="B9" s="61">
        <f ca="1">'Data Input'!B5</f>
        <v>4.4999999999999998E-2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15" customHeight="1" x14ac:dyDescent="0.3">
      <c r="A10" s="19" t="s">
        <v>686</v>
      </c>
      <c r="B10" s="23">
        <v>0.03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5" customHeight="1" x14ac:dyDescent="0.3">
      <c r="A11" s="19" t="s">
        <v>687</v>
      </c>
      <c r="B11" s="22">
        <v>12000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1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1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3">
      <c r="A14" s="18" t="s">
        <v>688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15" customHeight="1" x14ac:dyDescent="0.3">
      <c r="A15" s="32" t="s">
        <v>689</v>
      </c>
      <c r="B15" s="32" t="s">
        <v>690</v>
      </c>
      <c r="C15" s="32" t="s">
        <v>691</v>
      </c>
      <c r="D15" s="32" t="s">
        <v>692</v>
      </c>
      <c r="E15" s="32" t="s">
        <v>693</v>
      </c>
      <c r="F15" s="32" t="s">
        <v>694</v>
      </c>
      <c r="G15" s="32" t="s">
        <v>695</v>
      </c>
      <c r="H15" s="32" t="s">
        <v>696</v>
      </c>
      <c r="I15" s="32" t="s">
        <v>697</v>
      </c>
      <c r="J15" s="32" t="s">
        <v>698</v>
      </c>
      <c r="K15" s="11"/>
      <c r="L15" s="11"/>
      <c r="M15" s="11"/>
      <c r="N15" s="11"/>
    </row>
    <row r="16" spans="1:14" ht="15" customHeight="1" x14ac:dyDescent="0.3">
      <c r="A16" s="43">
        <v>1</v>
      </c>
      <c r="B16" s="60">
        <f>$B$5</f>
        <v>100000</v>
      </c>
      <c r="C16" s="60">
        <f t="shared" ref="C16:C35" si="0">$B$11</f>
        <v>12000</v>
      </c>
      <c r="D16" s="71">
        <f t="shared" ref="D16:D35" si="1">(B16+C16)*$B$6</f>
        <v>0</v>
      </c>
      <c r="E16" s="71">
        <f t="shared" ref="E16:E35" si="2">B16+C16+D16</f>
        <v>112000</v>
      </c>
      <c r="F16" s="47">
        <f>(E16-$B$5-1*$B$11)/($B$5+1*$B$11)</f>
        <v>0</v>
      </c>
      <c r="G16" s="71">
        <f>E16/(1+$B$10)^1</f>
        <v>108737.8640776699</v>
      </c>
      <c r="H16" s="71">
        <f>B16+C16+(B16+C16)*($B$6+$B$7)</f>
        <v>112000</v>
      </c>
      <c r="I16" s="71">
        <f>B16+C16+(B16+C16)*($B$6-$B$7)</f>
        <v>112000</v>
      </c>
      <c r="J16" s="71">
        <f>B16+C16+(B16+C16)*($B$6-2*$B$7)</f>
        <v>112000</v>
      </c>
      <c r="K16" s="11"/>
      <c r="L16" s="11"/>
      <c r="M16" s="11"/>
      <c r="N16" s="11"/>
    </row>
    <row r="17" spans="1:14" ht="15" customHeight="1" x14ac:dyDescent="0.3">
      <c r="A17" s="43">
        <v>2</v>
      </c>
      <c r="B17" s="71">
        <f t="shared" ref="B17:B35" si="3">E16</f>
        <v>112000</v>
      </c>
      <c r="C17" s="60">
        <f t="shared" si="0"/>
        <v>12000</v>
      </c>
      <c r="D17" s="71">
        <f t="shared" si="1"/>
        <v>0</v>
      </c>
      <c r="E17" s="71">
        <f t="shared" si="2"/>
        <v>124000</v>
      </c>
      <c r="F17" s="47">
        <f>(E17-$B$5-2*$B$11)/($B$5+2*$B$11)</f>
        <v>0</v>
      </c>
      <c r="G17" s="71">
        <f>E17/(1+$B$10)^2</f>
        <v>116881.89273258555</v>
      </c>
      <c r="H17" s="71">
        <f t="shared" ref="H17:H35" si="4">H16+$B$11+(H16+$B$11)*($B$6+$B$7)</f>
        <v>124000</v>
      </c>
      <c r="I17" s="71">
        <f t="shared" ref="I17:I35" si="5">I16+$B$11+(I16+$B$11)*($B$6-$B$7)</f>
        <v>124000</v>
      </c>
      <c r="J17" s="71">
        <f t="shared" ref="J17:J35" si="6">J16+$B$11+(J16+$B$11)*($B$6-2*$B$7)</f>
        <v>124000</v>
      </c>
      <c r="K17" s="11"/>
      <c r="L17" s="11"/>
      <c r="M17" s="11"/>
      <c r="N17" s="11"/>
    </row>
    <row r="18" spans="1:14" ht="15" customHeight="1" x14ac:dyDescent="0.3">
      <c r="A18" s="43">
        <v>3</v>
      </c>
      <c r="B18" s="71">
        <f t="shared" si="3"/>
        <v>124000</v>
      </c>
      <c r="C18" s="60">
        <f t="shared" si="0"/>
        <v>12000</v>
      </c>
      <c r="D18" s="71">
        <f t="shared" si="1"/>
        <v>0</v>
      </c>
      <c r="E18" s="71">
        <f t="shared" si="2"/>
        <v>136000</v>
      </c>
      <c r="F18" s="47">
        <f>(E18-$B$5-3*$B$11)/($B$5+3*$B$11)</f>
        <v>0</v>
      </c>
      <c r="G18" s="71">
        <f>E18/(1+$B$10)^3</f>
        <v>124459.26567202969</v>
      </c>
      <c r="H18" s="71">
        <f t="shared" si="4"/>
        <v>136000</v>
      </c>
      <c r="I18" s="71">
        <f t="shared" si="5"/>
        <v>136000</v>
      </c>
      <c r="J18" s="71">
        <f t="shared" si="6"/>
        <v>136000</v>
      </c>
      <c r="K18" s="11"/>
      <c r="L18" s="11"/>
      <c r="M18" s="11"/>
      <c r="N18" s="11"/>
    </row>
    <row r="19" spans="1:14" ht="15" customHeight="1" x14ac:dyDescent="0.3">
      <c r="A19" s="43">
        <v>4</v>
      </c>
      <c r="B19" s="71">
        <f t="shared" si="3"/>
        <v>136000</v>
      </c>
      <c r="C19" s="60">
        <f t="shared" si="0"/>
        <v>12000</v>
      </c>
      <c r="D19" s="71">
        <f t="shared" si="1"/>
        <v>0</v>
      </c>
      <c r="E19" s="71">
        <f t="shared" si="2"/>
        <v>148000</v>
      </c>
      <c r="F19" s="47">
        <f>(E19-$B$5-4*$B$11)/($B$5+4*$B$11)</f>
        <v>0</v>
      </c>
      <c r="G19" s="71">
        <f>E19/(1+$B$10)^4</f>
        <v>131496.08309152196</v>
      </c>
      <c r="H19" s="71">
        <f t="shared" si="4"/>
        <v>148000</v>
      </c>
      <c r="I19" s="71">
        <f t="shared" si="5"/>
        <v>148000</v>
      </c>
      <c r="J19" s="71">
        <f t="shared" si="6"/>
        <v>148000</v>
      </c>
      <c r="K19" s="11"/>
      <c r="L19" s="11"/>
      <c r="M19" s="11"/>
      <c r="N19" s="11"/>
    </row>
    <row r="20" spans="1:14" ht="15" customHeight="1" x14ac:dyDescent="0.3">
      <c r="A20" s="43">
        <v>5</v>
      </c>
      <c r="B20" s="71">
        <f t="shared" si="3"/>
        <v>148000</v>
      </c>
      <c r="C20" s="60">
        <f t="shared" si="0"/>
        <v>12000</v>
      </c>
      <c r="D20" s="71">
        <f t="shared" si="1"/>
        <v>0</v>
      </c>
      <c r="E20" s="71">
        <f t="shared" si="2"/>
        <v>160000</v>
      </c>
      <c r="F20" s="47">
        <f>(E20-$B$5-5*$B$11)/($B$5+5*$B$11)</f>
        <v>0</v>
      </c>
      <c r="G20" s="71">
        <f>E20/(1+$B$10)^5</f>
        <v>138017.40550146624</v>
      </c>
      <c r="H20" s="71">
        <f t="shared" si="4"/>
        <v>160000</v>
      </c>
      <c r="I20" s="71">
        <f t="shared" si="5"/>
        <v>160000</v>
      </c>
      <c r="J20" s="71">
        <f t="shared" si="6"/>
        <v>160000</v>
      </c>
      <c r="K20" s="11"/>
      <c r="L20" s="11"/>
      <c r="M20" s="11"/>
      <c r="N20" s="11"/>
    </row>
    <row r="21" spans="1:14" ht="15" customHeight="1" x14ac:dyDescent="0.3">
      <c r="A21" s="43">
        <v>6</v>
      </c>
      <c r="B21" s="71">
        <f t="shared" si="3"/>
        <v>160000</v>
      </c>
      <c r="C21" s="60">
        <f t="shared" si="0"/>
        <v>12000</v>
      </c>
      <c r="D21" s="71">
        <f t="shared" si="1"/>
        <v>0</v>
      </c>
      <c r="E21" s="71">
        <f t="shared" si="2"/>
        <v>172000</v>
      </c>
      <c r="F21" s="47">
        <f>(E21-$B$5-6*$B$11)/($B$5+6*$B$11)</f>
        <v>0</v>
      </c>
      <c r="G21" s="71">
        <f>E21/(1+$B$10)^6</f>
        <v>144047.29214958855</v>
      </c>
      <c r="H21" s="71">
        <f t="shared" si="4"/>
        <v>172000</v>
      </c>
      <c r="I21" s="71">
        <f t="shared" si="5"/>
        <v>172000</v>
      </c>
      <c r="J21" s="71">
        <f t="shared" si="6"/>
        <v>172000</v>
      </c>
      <c r="K21" s="11"/>
      <c r="L21" s="11"/>
      <c r="M21" s="11"/>
      <c r="N21" s="11"/>
    </row>
    <row r="22" spans="1:14" ht="15" customHeight="1" x14ac:dyDescent="0.3">
      <c r="A22" s="43">
        <v>7</v>
      </c>
      <c r="B22" s="71">
        <f t="shared" si="3"/>
        <v>172000</v>
      </c>
      <c r="C22" s="60">
        <f t="shared" si="0"/>
        <v>12000</v>
      </c>
      <c r="D22" s="71">
        <f t="shared" si="1"/>
        <v>0</v>
      </c>
      <c r="E22" s="71">
        <f t="shared" si="2"/>
        <v>184000</v>
      </c>
      <c r="F22" s="47">
        <f>(E22-$B$5-7*$B$11)/($B$5+7*$B$11)</f>
        <v>0</v>
      </c>
      <c r="G22" s="71">
        <f>E22/(1+$B$10)^7</f>
        <v>149608.83808717708</v>
      </c>
      <c r="H22" s="71">
        <f t="shared" si="4"/>
        <v>184000</v>
      </c>
      <c r="I22" s="71">
        <f t="shared" si="5"/>
        <v>184000</v>
      </c>
      <c r="J22" s="71">
        <f t="shared" si="6"/>
        <v>184000</v>
      </c>
      <c r="K22" s="11"/>
      <c r="L22" s="11"/>
      <c r="M22" s="11"/>
      <c r="N22" s="11"/>
    </row>
    <row r="23" spans="1:14" ht="15" customHeight="1" x14ac:dyDescent="0.3">
      <c r="A23" s="43">
        <v>8</v>
      </c>
      <c r="B23" s="71">
        <f t="shared" si="3"/>
        <v>184000</v>
      </c>
      <c r="C23" s="60">
        <f t="shared" si="0"/>
        <v>12000</v>
      </c>
      <c r="D23" s="71">
        <f t="shared" si="1"/>
        <v>0</v>
      </c>
      <c r="E23" s="71">
        <f t="shared" si="2"/>
        <v>196000</v>
      </c>
      <c r="F23" s="47">
        <f>(E23-$B$5-8*$B$11)/($B$5+8*$B$11)</f>
        <v>0</v>
      </c>
      <c r="G23" s="71">
        <f>E23/(1+$B$10)^8</f>
        <v>154724.20992553141</v>
      </c>
      <c r="H23" s="71">
        <f t="shared" si="4"/>
        <v>196000</v>
      </c>
      <c r="I23" s="71">
        <f t="shared" si="5"/>
        <v>196000</v>
      </c>
      <c r="J23" s="71">
        <f t="shared" si="6"/>
        <v>196000</v>
      </c>
      <c r="K23" s="11"/>
      <c r="L23" s="11"/>
      <c r="M23" s="11"/>
      <c r="N23" s="11"/>
    </row>
    <row r="24" spans="1:14" ht="15" customHeight="1" x14ac:dyDescent="0.3">
      <c r="A24" s="43">
        <v>9</v>
      </c>
      <c r="B24" s="71">
        <f t="shared" si="3"/>
        <v>196000</v>
      </c>
      <c r="C24" s="60">
        <f t="shared" si="0"/>
        <v>12000</v>
      </c>
      <c r="D24" s="71">
        <f t="shared" si="1"/>
        <v>0</v>
      </c>
      <c r="E24" s="71">
        <f t="shared" si="2"/>
        <v>208000</v>
      </c>
      <c r="F24" s="47">
        <f>(E24-$B$5-9*$B$11)/($B$5+9*$B$11)</f>
        <v>0</v>
      </c>
      <c r="G24" s="71">
        <f>E24/(1+$B$10)^9</f>
        <v>159414.6803274744</v>
      </c>
      <c r="H24" s="71">
        <f t="shared" si="4"/>
        <v>208000</v>
      </c>
      <c r="I24" s="71">
        <f t="shared" si="5"/>
        <v>208000</v>
      </c>
      <c r="J24" s="71">
        <f t="shared" si="6"/>
        <v>208000</v>
      </c>
      <c r="K24" s="11"/>
      <c r="L24" s="11"/>
      <c r="M24" s="11"/>
      <c r="N24" s="11"/>
    </row>
    <row r="25" spans="1:14" ht="15" customHeight="1" x14ac:dyDescent="0.3">
      <c r="A25" s="43">
        <v>10</v>
      </c>
      <c r="B25" s="71">
        <f t="shared" si="3"/>
        <v>208000</v>
      </c>
      <c r="C25" s="60">
        <f t="shared" si="0"/>
        <v>12000</v>
      </c>
      <c r="D25" s="71">
        <f t="shared" si="1"/>
        <v>0</v>
      </c>
      <c r="E25" s="71">
        <f t="shared" si="2"/>
        <v>220000</v>
      </c>
      <c r="F25" s="47">
        <f>(E25-$B$5-10*$B$11)/($B$5+10*$B$11)</f>
        <v>0</v>
      </c>
      <c r="G25" s="71">
        <f>E25/(1+$B$10)^10</f>
        <v>163700.66127727955</v>
      </c>
      <c r="H25" s="71">
        <f t="shared" si="4"/>
        <v>220000</v>
      </c>
      <c r="I25" s="71">
        <f t="shared" si="5"/>
        <v>220000</v>
      </c>
      <c r="J25" s="71">
        <f t="shared" si="6"/>
        <v>220000</v>
      </c>
      <c r="K25" s="11"/>
      <c r="L25" s="11"/>
      <c r="M25" s="11"/>
      <c r="N25" s="11"/>
    </row>
    <row r="26" spans="1:14" ht="15" customHeight="1" x14ac:dyDescent="0.3">
      <c r="A26" s="43">
        <v>11</v>
      </c>
      <c r="B26" s="71">
        <f t="shared" si="3"/>
        <v>220000</v>
      </c>
      <c r="C26" s="60">
        <f t="shared" si="0"/>
        <v>12000</v>
      </c>
      <c r="D26" s="71">
        <f t="shared" si="1"/>
        <v>0</v>
      </c>
      <c r="E26" s="71">
        <f t="shared" si="2"/>
        <v>232000</v>
      </c>
      <c r="F26" s="47">
        <f>(E26-$B$5-11*$B$11)/($B$5+11*$B$11)</f>
        <v>0</v>
      </c>
      <c r="G26" s="71">
        <f>E26/(1+$B$10)^11</f>
        <v>167601.73617091286</v>
      </c>
      <c r="H26" s="71">
        <f t="shared" si="4"/>
        <v>232000</v>
      </c>
      <c r="I26" s="71">
        <f t="shared" si="5"/>
        <v>232000</v>
      </c>
      <c r="J26" s="71">
        <f t="shared" si="6"/>
        <v>232000</v>
      </c>
      <c r="K26" s="11"/>
      <c r="L26" s="11"/>
      <c r="M26" s="11"/>
      <c r="N26" s="11"/>
    </row>
    <row r="27" spans="1:14" ht="15" customHeight="1" x14ac:dyDescent="0.3">
      <c r="A27" s="43">
        <v>12</v>
      </c>
      <c r="B27" s="71">
        <f t="shared" si="3"/>
        <v>232000</v>
      </c>
      <c r="C27" s="60">
        <f t="shared" si="0"/>
        <v>12000</v>
      </c>
      <c r="D27" s="71">
        <f t="shared" si="1"/>
        <v>0</v>
      </c>
      <c r="E27" s="71">
        <f t="shared" si="2"/>
        <v>244000</v>
      </c>
      <c r="F27" s="47">
        <f>(E27-$B$5-12*$B$11)/($B$5+12*$B$11)</f>
        <v>0</v>
      </c>
      <c r="G27" s="71">
        <f>E27/(1+$B$10)^12</f>
        <v>171136.69076708547</v>
      </c>
      <c r="H27" s="71">
        <f t="shared" si="4"/>
        <v>244000</v>
      </c>
      <c r="I27" s="71">
        <f t="shared" si="5"/>
        <v>244000</v>
      </c>
      <c r="J27" s="71">
        <f t="shared" si="6"/>
        <v>244000</v>
      </c>
      <c r="K27" s="11"/>
      <c r="L27" s="11"/>
      <c r="M27" s="11"/>
      <c r="N27" s="11"/>
    </row>
    <row r="28" spans="1:14" ht="15" customHeight="1" x14ac:dyDescent="0.3">
      <c r="A28" s="43">
        <v>13</v>
      </c>
      <c r="B28" s="71">
        <f t="shared" si="3"/>
        <v>244000</v>
      </c>
      <c r="C28" s="60">
        <f t="shared" si="0"/>
        <v>12000</v>
      </c>
      <c r="D28" s="71">
        <f t="shared" si="1"/>
        <v>0</v>
      </c>
      <c r="E28" s="71">
        <f t="shared" si="2"/>
        <v>256000</v>
      </c>
      <c r="F28" s="47">
        <f>(E28-$B$5-13*$B$11)/($B$5+13*$B$11)</f>
        <v>0</v>
      </c>
      <c r="G28" s="71">
        <f>E28/(1+$B$10)^13</f>
        <v>174323.54303825356</v>
      </c>
      <c r="H28" s="71">
        <f t="shared" si="4"/>
        <v>256000</v>
      </c>
      <c r="I28" s="71">
        <f t="shared" si="5"/>
        <v>256000</v>
      </c>
      <c r="J28" s="71">
        <f t="shared" si="6"/>
        <v>256000</v>
      </c>
      <c r="K28" s="11"/>
      <c r="L28" s="11"/>
      <c r="M28" s="11"/>
      <c r="N28" s="11"/>
    </row>
    <row r="29" spans="1:14" ht="15" customHeight="1" x14ac:dyDescent="0.3">
      <c r="A29" s="43">
        <v>14</v>
      </c>
      <c r="B29" s="71">
        <f t="shared" si="3"/>
        <v>256000</v>
      </c>
      <c r="C29" s="60">
        <f t="shared" si="0"/>
        <v>12000</v>
      </c>
      <c r="D29" s="71">
        <f t="shared" si="1"/>
        <v>0</v>
      </c>
      <c r="E29" s="71">
        <f t="shared" si="2"/>
        <v>268000</v>
      </c>
      <c r="F29" s="47">
        <f>(E29-$B$5-14*$B$11)/($B$5+14*$B$11)</f>
        <v>0</v>
      </c>
      <c r="G29" s="71">
        <f>E29/(1+$B$10)^14</f>
        <v>177179.57195938996</v>
      </c>
      <c r="H29" s="71">
        <f t="shared" si="4"/>
        <v>268000</v>
      </c>
      <c r="I29" s="71">
        <f t="shared" si="5"/>
        <v>268000</v>
      </c>
      <c r="J29" s="71">
        <f t="shared" si="6"/>
        <v>268000</v>
      </c>
      <c r="K29" s="11"/>
      <c r="L29" s="11"/>
      <c r="M29" s="11"/>
      <c r="N29" s="11"/>
    </row>
    <row r="30" spans="1:14" ht="15" customHeight="1" x14ac:dyDescent="0.3">
      <c r="A30" s="43">
        <v>15</v>
      </c>
      <c r="B30" s="71">
        <f t="shared" si="3"/>
        <v>268000</v>
      </c>
      <c r="C30" s="60">
        <f t="shared" si="0"/>
        <v>12000</v>
      </c>
      <c r="D30" s="71">
        <f t="shared" si="1"/>
        <v>0</v>
      </c>
      <c r="E30" s="71">
        <f t="shared" si="2"/>
        <v>280000</v>
      </c>
      <c r="F30" s="47">
        <f>(E30-$B$5-15*$B$11)/($B$5+15*$B$11)</f>
        <v>0</v>
      </c>
      <c r="G30" s="71">
        <f>E30/(1+$B$10)^15</f>
        <v>179721.34527108094</v>
      </c>
      <c r="H30" s="71">
        <f t="shared" si="4"/>
        <v>280000</v>
      </c>
      <c r="I30" s="71">
        <f t="shared" si="5"/>
        <v>280000</v>
      </c>
      <c r="J30" s="71">
        <f t="shared" si="6"/>
        <v>280000</v>
      </c>
      <c r="K30" s="11"/>
      <c r="L30" s="11"/>
      <c r="M30" s="11"/>
      <c r="N30" s="11"/>
    </row>
    <row r="31" spans="1:14" ht="15" customHeight="1" x14ac:dyDescent="0.3">
      <c r="A31" s="43">
        <v>16</v>
      </c>
      <c r="B31" s="71">
        <f t="shared" si="3"/>
        <v>280000</v>
      </c>
      <c r="C31" s="60">
        <f t="shared" si="0"/>
        <v>12000</v>
      </c>
      <c r="D31" s="71">
        <f t="shared" si="1"/>
        <v>0</v>
      </c>
      <c r="E31" s="71">
        <f t="shared" si="2"/>
        <v>292000</v>
      </c>
      <c r="F31" s="47">
        <f>(E31-$B$5-16*$B$11)/($B$5+16*$B$11)</f>
        <v>0</v>
      </c>
      <c r="G31" s="71">
        <f>E31/(1+$B$10)^16</f>
        <v>181964.74625227338</v>
      </c>
      <c r="H31" s="71">
        <f t="shared" si="4"/>
        <v>292000</v>
      </c>
      <c r="I31" s="71">
        <f t="shared" si="5"/>
        <v>292000</v>
      </c>
      <c r="J31" s="71">
        <f t="shared" si="6"/>
        <v>292000</v>
      </c>
      <c r="K31" s="11"/>
      <c r="L31" s="11"/>
      <c r="M31" s="11"/>
      <c r="N31" s="11"/>
    </row>
    <row r="32" spans="1:14" ht="15" customHeight="1" x14ac:dyDescent="0.3">
      <c r="A32" s="43">
        <v>17</v>
      </c>
      <c r="B32" s="71">
        <f t="shared" si="3"/>
        <v>292000</v>
      </c>
      <c r="C32" s="60">
        <f t="shared" si="0"/>
        <v>12000</v>
      </c>
      <c r="D32" s="71">
        <f t="shared" si="1"/>
        <v>0</v>
      </c>
      <c r="E32" s="71">
        <f t="shared" si="2"/>
        <v>304000</v>
      </c>
      <c r="F32" s="47">
        <f>(E32-$B$5-17*$B$11)/($B$5+17*$B$11)</f>
        <v>0</v>
      </c>
      <c r="G32" s="71">
        <f>E32/(1+$B$10)^17</f>
        <v>183924.99953681044</v>
      </c>
      <c r="H32" s="71">
        <f t="shared" si="4"/>
        <v>304000</v>
      </c>
      <c r="I32" s="71">
        <f t="shared" si="5"/>
        <v>304000</v>
      </c>
      <c r="J32" s="71">
        <f t="shared" si="6"/>
        <v>304000</v>
      </c>
      <c r="K32" s="11"/>
      <c r="L32" s="11"/>
      <c r="M32" s="11"/>
      <c r="N32" s="11"/>
    </row>
    <row r="33" spans="1:14" ht="15" customHeight="1" x14ac:dyDescent="0.3">
      <c r="A33" s="43">
        <v>18</v>
      </c>
      <c r="B33" s="71">
        <f t="shared" si="3"/>
        <v>304000</v>
      </c>
      <c r="C33" s="60">
        <f t="shared" si="0"/>
        <v>12000</v>
      </c>
      <c r="D33" s="71">
        <f t="shared" si="1"/>
        <v>0</v>
      </c>
      <c r="E33" s="71">
        <f t="shared" si="2"/>
        <v>316000</v>
      </c>
      <c r="F33" s="47">
        <f>(E33-$B$5-18*$B$11)/($B$5+18*$B$11)</f>
        <v>0</v>
      </c>
      <c r="G33" s="71">
        <f>E33/(1+$B$10)^18</f>
        <v>185616.69600674533</v>
      </c>
      <c r="H33" s="71">
        <f t="shared" si="4"/>
        <v>316000</v>
      </c>
      <c r="I33" s="71">
        <f t="shared" si="5"/>
        <v>316000</v>
      </c>
      <c r="J33" s="71">
        <f t="shared" si="6"/>
        <v>316000</v>
      </c>
      <c r="K33" s="11"/>
      <c r="L33" s="11"/>
      <c r="M33" s="11"/>
      <c r="N33" s="11"/>
    </row>
    <row r="34" spans="1:14" ht="15" customHeight="1" x14ac:dyDescent="0.3">
      <c r="A34" s="43">
        <v>19</v>
      </c>
      <c r="B34" s="71">
        <f t="shared" si="3"/>
        <v>316000</v>
      </c>
      <c r="C34" s="60">
        <f t="shared" si="0"/>
        <v>12000</v>
      </c>
      <c r="D34" s="71">
        <f t="shared" si="1"/>
        <v>0</v>
      </c>
      <c r="E34" s="71">
        <f t="shared" si="2"/>
        <v>328000</v>
      </c>
      <c r="F34" s="47">
        <f>(E34-$B$5-19*$B$11)/($B$5+19*$B$11)</f>
        <v>0</v>
      </c>
      <c r="G34" s="71">
        <f>E34/(1+$B$10)^19</f>
        <v>187053.81679431139</v>
      </c>
      <c r="H34" s="71">
        <f t="shared" si="4"/>
        <v>328000</v>
      </c>
      <c r="I34" s="71">
        <f t="shared" si="5"/>
        <v>328000</v>
      </c>
      <c r="J34" s="71">
        <f t="shared" si="6"/>
        <v>328000</v>
      </c>
      <c r="K34" s="11"/>
      <c r="L34" s="11"/>
      <c r="M34" s="11"/>
      <c r="N34" s="11"/>
    </row>
    <row r="35" spans="1:14" ht="15" customHeight="1" x14ac:dyDescent="0.3">
      <c r="A35" s="43">
        <v>20</v>
      </c>
      <c r="B35" s="71">
        <f t="shared" si="3"/>
        <v>328000</v>
      </c>
      <c r="C35" s="60">
        <f t="shared" si="0"/>
        <v>12000</v>
      </c>
      <c r="D35" s="71">
        <f t="shared" si="1"/>
        <v>0</v>
      </c>
      <c r="E35" s="71">
        <f t="shared" si="2"/>
        <v>340000</v>
      </c>
      <c r="F35" s="47">
        <f>(E35-$B$5-20*$B$11)/($B$5+20*$B$11)</f>
        <v>0</v>
      </c>
      <c r="G35" s="71">
        <f>E35/(1+$B$10)^20</f>
        <v>188249.75642335389</v>
      </c>
      <c r="H35" s="71">
        <f t="shared" si="4"/>
        <v>340000</v>
      </c>
      <c r="I35" s="71">
        <f t="shared" si="5"/>
        <v>340000</v>
      </c>
      <c r="J35" s="71">
        <f t="shared" si="6"/>
        <v>340000</v>
      </c>
      <c r="K35" s="11"/>
      <c r="L35" s="11"/>
      <c r="M35" s="11"/>
      <c r="N35" s="11"/>
    </row>
    <row r="36" spans="1:14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15" customHeight="1" x14ac:dyDescent="0.3">
      <c r="A37" s="18" t="s">
        <v>699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15" customHeight="1" x14ac:dyDescent="0.3">
      <c r="A38" s="19" t="s">
        <v>700</v>
      </c>
      <c r="B38" s="71">
        <f>E20</f>
        <v>160000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ht="15" customHeight="1" x14ac:dyDescent="0.3">
      <c r="A39" s="19" t="s">
        <v>701</v>
      </c>
      <c r="B39" s="71">
        <f>E25</f>
        <v>220000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5" customHeight="1" x14ac:dyDescent="0.3">
      <c r="A40" s="19" t="s">
        <v>702</v>
      </c>
      <c r="B40" s="71">
        <f>E35</f>
        <v>340000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15" customHeight="1" x14ac:dyDescent="0.3">
      <c r="A41" s="19" t="s">
        <v>703</v>
      </c>
      <c r="B41" s="71">
        <f>H20</f>
        <v>160000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ht="15" customHeight="1" x14ac:dyDescent="0.3">
      <c r="A42" s="19" t="s">
        <v>704</v>
      </c>
      <c r="B42" s="71">
        <f>I20</f>
        <v>160000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15" customHeight="1" x14ac:dyDescent="0.3">
      <c r="A43" s="19" t="s">
        <v>705</v>
      </c>
      <c r="B43" s="71">
        <f>H25</f>
        <v>220000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15" customHeight="1" x14ac:dyDescent="0.3">
      <c r="A44" s="19" t="s">
        <v>706</v>
      </c>
      <c r="B44" s="71">
        <f>I25</f>
        <v>220000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ht="15" customHeight="1" x14ac:dyDescent="0.3">
      <c r="A45" s="19" t="s">
        <v>707</v>
      </c>
      <c r="B45" s="48" t="str">
        <f>IF(B6&gt;0,ROUND(0.72/B6,1),"N/A")</f>
        <v>N/A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ht="15" customHeight="1" x14ac:dyDescent="0.3">
      <c r="A48" s="18" t="s">
        <v>708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ht="15" customHeight="1" x14ac:dyDescent="0.3">
      <c r="A49" s="32" t="s">
        <v>412</v>
      </c>
      <c r="B49" s="32" t="s">
        <v>709</v>
      </c>
      <c r="C49" s="32" t="s">
        <v>710</v>
      </c>
      <c r="D49" s="32" t="s">
        <v>711</v>
      </c>
      <c r="E49" s="32" t="s">
        <v>712</v>
      </c>
      <c r="F49" s="11"/>
      <c r="G49" s="11"/>
      <c r="H49" s="11"/>
      <c r="I49" s="11"/>
      <c r="J49" s="11"/>
      <c r="K49" s="11"/>
      <c r="L49" s="11"/>
      <c r="M49" s="11"/>
      <c r="N49" s="11"/>
    </row>
    <row r="50" spans="1:14" ht="15" customHeight="1" x14ac:dyDescent="0.3">
      <c r="A50" s="19" t="s">
        <v>479</v>
      </c>
      <c r="B50" s="47">
        <f>IFERROR(SUMPRODUCT(('Asset Analysis'!B4:B27="US Eq")*'Asset Analysis'!R4:R27),0)</f>
        <v>0.48000000000000009</v>
      </c>
      <c r="C50" s="27">
        <f ca="1">IFERROR(SUMPRODUCT(('Asset Analysis'!B4:B27="US Eq")*'Asset Analysis'!R4:R27*'Asset Analysis'!D4:D27),0)</f>
        <v>0</v>
      </c>
      <c r="D50" s="27">
        <f ca="1">IFERROR(SUMPRODUCT(('Asset Analysis'!B4:B27="US Eq")*'Asset Analysis'!R4:R27*'Asset Analysis'!E4:E27),0)</f>
        <v>0</v>
      </c>
      <c r="E50" s="42">
        <f t="shared" ref="E50:E56" ca="1" si="7">IFERROR(IF(D50=0,0,C50/D50),0)</f>
        <v>0</v>
      </c>
      <c r="F50" s="11"/>
      <c r="G50" s="11"/>
      <c r="H50" s="11"/>
      <c r="I50" s="11"/>
      <c r="J50" s="11"/>
      <c r="K50" s="11"/>
      <c r="L50" s="11"/>
      <c r="M50" s="11"/>
      <c r="N50" s="11"/>
    </row>
    <row r="51" spans="1:14" ht="15" customHeight="1" x14ac:dyDescent="0.3">
      <c r="A51" s="19" t="s">
        <v>621</v>
      </c>
      <c r="B51" s="47">
        <f>IFERROR(SUMPRODUCT(('Asset Analysis'!B4:B27="Intl")*'Asset Analysis'!R4:R27),0)</f>
        <v>8.4999999999999992E-2</v>
      </c>
      <c r="C51" s="27">
        <f ca="1">IFERROR(SUMPRODUCT(('Asset Analysis'!B4:B27="Intl")*'Asset Analysis'!R4:R27*'Asset Analysis'!D4:D27),0)</f>
        <v>0</v>
      </c>
      <c r="D51" s="27">
        <f ca="1">IFERROR(SUMPRODUCT(('Asset Analysis'!B4:B27="Intl")*'Asset Analysis'!R4:R27*'Asset Analysis'!E4:E27),0)</f>
        <v>0</v>
      </c>
      <c r="E51" s="42">
        <f t="shared" ca="1" si="7"/>
        <v>0</v>
      </c>
      <c r="F51" s="11"/>
      <c r="G51" s="11"/>
      <c r="H51" s="11"/>
      <c r="I51" s="11"/>
      <c r="J51" s="11"/>
      <c r="K51" s="11"/>
      <c r="L51" s="11"/>
      <c r="M51" s="11"/>
      <c r="N51" s="11"/>
    </row>
    <row r="52" spans="1:14" ht="15" customHeight="1" x14ac:dyDescent="0.3">
      <c r="A52" s="19" t="s">
        <v>562</v>
      </c>
      <c r="B52" s="47">
        <f>IFERROR(SUMPRODUCT(('Asset Analysis'!B4:B27="Bond")*'Asset Analysis'!R4:R27),0)</f>
        <v>0.16</v>
      </c>
      <c r="C52" s="27">
        <f ca="1">IFERROR(SUMPRODUCT(('Asset Analysis'!B4:B27="Bond")*'Asset Analysis'!R4:R27*'Asset Analysis'!D4:D27),0)</f>
        <v>0</v>
      </c>
      <c r="D52" s="27">
        <f ca="1">IFERROR(SUMPRODUCT(('Asset Analysis'!B4:B27="Bond")*'Asset Analysis'!R4:R27*'Asset Analysis'!E4:E27),0)</f>
        <v>0</v>
      </c>
      <c r="E52" s="42">
        <f t="shared" ca="1" si="7"/>
        <v>0</v>
      </c>
      <c r="F52" s="11"/>
      <c r="G52" s="11"/>
      <c r="H52" s="11"/>
      <c r="I52" s="11"/>
      <c r="J52" s="11"/>
      <c r="K52" s="11"/>
      <c r="L52" s="11"/>
      <c r="M52" s="11"/>
      <c r="N52" s="11"/>
    </row>
    <row r="53" spans="1:14" ht="15" customHeight="1" x14ac:dyDescent="0.3">
      <c r="A53" s="19" t="s">
        <v>588</v>
      </c>
      <c r="B53" s="47">
        <f>IFERROR(SUMPRODUCT(('Asset Analysis'!B4:B27="Alt")*'Asset Analysis'!R4:R27),0)</f>
        <v>7.4999999999999997E-2</v>
      </c>
      <c r="C53" s="27">
        <f ca="1">IFERROR(SUMPRODUCT(('Asset Analysis'!B4:B27="Alt")*'Asset Analysis'!R4:R27*'Asset Analysis'!D4:D27),0)</f>
        <v>0</v>
      </c>
      <c r="D53" s="27">
        <f ca="1">IFERROR(SUMPRODUCT(('Asset Analysis'!B4:B27="Alt")*'Asset Analysis'!R4:R27*'Asset Analysis'!E4:E27),0)</f>
        <v>0</v>
      </c>
      <c r="E53" s="42">
        <f t="shared" ca="1" si="7"/>
        <v>0</v>
      </c>
      <c r="F53" s="11"/>
      <c r="G53" s="11"/>
      <c r="H53" s="11"/>
      <c r="I53" s="11"/>
      <c r="J53" s="11"/>
      <c r="K53" s="11"/>
      <c r="L53" s="11"/>
      <c r="M53" s="11"/>
      <c r="N53" s="11"/>
    </row>
    <row r="54" spans="1:14" ht="15" customHeight="1" x14ac:dyDescent="0.3">
      <c r="A54" s="19" t="s">
        <v>422</v>
      </c>
      <c r="B54" s="47">
        <f>IFERROR(SUMPRODUCT(('Asset Analysis'!B4:B27="REIT")*'Asset Analysis'!R4:R27),0)</f>
        <v>0.05</v>
      </c>
      <c r="C54" s="27">
        <f ca="1">IFERROR(SUMPRODUCT(('Asset Analysis'!B4:B27="REIT")*'Asset Analysis'!R4:R27*'Asset Analysis'!D4:D27),0)</f>
        <v>0</v>
      </c>
      <c r="D54" s="27">
        <f ca="1">IFERROR(SUMPRODUCT(('Asset Analysis'!B4:B27="REIT")*'Asset Analysis'!R4:R27*'Asset Analysis'!E4:E27),0)</f>
        <v>0</v>
      </c>
      <c r="E54" s="42">
        <f t="shared" ca="1" si="7"/>
        <v>0</v>
      </c>
      <c r="F54" s="11"/>
      <c r="G54" s="11"/>
      <c r="H54" s="11"/>
      <c r="I54" s="11"/>
      <c r="J54" s="11"/>
      <c r="K54" s="11"/>
      <c r="L54" s="11"/>
      <c r="M54" s="11"/>
      <c r="N54" s="11"/>
    </row>
    <row r="55" spans="1:14" ht="15" customHeight="1" x14ac:dyDescent="0.3">
      <c r="A55" s="19" t="s">
        <v>424</v>
      </c>
      <c r="B55" s="47">
        <f>IFERROR(SUMPRODUCT(('Asset Analysis'!B4:B27="MF")*'Asset Analysis'!R4:R27),0)</f>
        <v>0.14500000000000002</v>
      </c>
      <c r="C55" s="27">
        <f ca="1">IFERROR(SUMPRODUCT(('Asset Analysis'!B4:B27="MF")*'Asset Analysis'!R4:R27*'Asset Analysis'!D4:D27),0)</f>
        <v>0</v>
      </c>
      <c r="D55" s="27">
        <f ca="1">IFERROR(SUMPRODUCT(('Asset Analysis'!B4:B27="MF")*'Asset Analysis'!R4:R27*'Asset Analysis'!E4:E27),0)</f>
        <v>0</v>
      </c>
      <c r="E55" s="42">
        <f t="shared" ca="1" si="7"/>
        <v>0</v>
      </c>
      <c r="F55" s="11"/>
      <c r="G55" s="11"/>
      <c r="H55" s="11"/>
      <c r="I55" s="11"/>
      <c r="J55" s="11"/>
      <c r="K55" s="11"/>
      <c r="L55" s="11"/>
      <c r="M55" s="11"/>
      <c r="N55" s="11"/>
    </row>
    <row r="56" spans="1:14" ht="15" customHeight="1" x14ac:dyDescent="0.3">
      <c r="A56" s="19" t="s">
        <v>713</v>
      </c>
      <c r="B56" s="47">
        <f>IFERROR(SUMPRODUCT(('Asset Analysis'!B4:B27="Hedge")*'Asset Analysis'!R4:R27),0)</f>
        <v>4.4999999999999998E-2</v>
      </c>
      <c r="C56" s="27">
        <f ca="1">IFERROR(SUMPRODUCT(('Asset Analysis'!B4:B27="Hedge")*'Asset Analysis'!R4:R27*'Asset Analysis'!D4:D27),0)</f>
        <v>0</v>
      </c>
      <c r="D56" s="27">
        <f ca="1">IFERROR(SUMPRODUCT(('Asset Analysis'!B4:B27="Hedge")*'Asset Analysis'!R4:R27*'Asset Analysis'!E4:E27),0)</f>
        <v>0</v>
      </c>
      <c r="E56" s="42">
        <f t="shared" ca="1" si="7"/>
        <v>0</v>
      </c>
      <c r="F56" s="11"/>
      <c r="G56" s="11"/>
      <c r="H56" s="11"/>
      <c r="I56" s="11"/>
      <c r="J56" s="11"/>
      <c r="K56" s="11"/>
      <c r="L56" s="11"/>
      <c r="M56" s="11"/>
      <c r="N56" s="11"/>
    </row>
    <row r="57" spans="1:14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855F7"/>
  </sheetPr>
  <dimension ref="A1:P55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9" customWidth="1"/>
    <col min="3" max="3" width="8" customWidth="1"/>
    <col min="4" max="14" width="9" customWidth="1"/>
  </cols>
  <sheetData>
    <row r="1" spans="1:16" ht="17.25" customHeight="1" x14ac:dyDescent="0.3">
      <c r="A1" s="10" t="s">
        <v>714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customHeight="1" x14ac:dyDescent="0.3">
      <c r="A2" s="8" t="s">
        <v>715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1"/>
      <c r="P2" s="11"/>
    </row>
    <row r="3" spans="1:16" ht="1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customHeight="1" x14ac:dyDescent="0.3">
      <c r="A4" s="32" t="s">
        <v>412</v>
      </c>
      <c r="B4" s="32" t="s">
        <v>716</v>
      </c>
      <c r="C4" s="32" t="s">
        <v>717</v>
      </c>
      <c r="D4" s="32" t="s">
        <v>718</v>
      </c>
      <c r="E4" s="32" t="s">
        <v>719</v>
      </c>
      <c r="F4" s="32" t="s">
        <v>720</v>
      </c>
      <c r="G4" s="32" t="s">
        <v>721</v>
      </c>
      <c r="H4" s="32" t="s">
        <v>722</v>
      </c>
      <c r="I4" s="32" t="s">
        <v>723</v>
      </c>
      <c r="J4" s="32" t="s">
        <v>724</v>
      </c>
      <c r="K4" s="32" t="s">
        <v>725</v>
      </c>
      <c r="L4" s="32" t="s">
        <v>726</v>
      </c>
      <c r="M4" s="32" t="s">
        <v>727</v>
      </c>
      <c r="N4" s="11"/>
      <c r="O4" s="11"/>
      <c r="P4" s="11"/>
    </row>
    <row r="5" spans="1:16" ht="15" customHeight="1" x14ac:dyDescent="0.3">
      <c r="A5" s="19" t="s">
        <v>416</v>
      </c>
      <c r="B5" s="23">
        <v>0.1</v>
      </c>
      <c r="C5" s="23">
        <v>0.16</v>
      </c>
      <c r="D5" s="23">
        <v>0.28000000000000003</v>
      </c>
      <c r="E5" s="27">
        <f t="shared" ref="E5:E17" si="0">D5*$B5</f>
        <v>2.8000000000000004E-2</v>
      </c>
      <c r="F5" s="23">
        <v>0.15</v>
      </c>
      <c r="G5" s="27">
        <f t="shared" ref="G5:G17" si="1">F5*$B5</f>
        <v>1.4999999999999999E-2</v>
      </c>
      <c r="H5" s="23">
        <v>0.35</v>
      </c>
      <c r="I5" s="27">
        <f t="shared" ref="I5:I17" si="2">H5*$B5</f>
        <v>3.4999999999999996E-2</v>
      </c>
      <c r="J5" s="23">
        <v>0.25</v>
      </c>
      <c r="K5" s="27">
        <f t="shared" ref="K5:K17" si="3">J5*$B5</f>
        <v>2.5000000000000001E-2</v>
      </c>
      <c r="L5" s="23">
        <v>0.18</v>
      </c>
      <c r="M5" s="27">
        <f t="shared" ref="M5:M17" si="4">L5*$B5</f>
        <v>1.7999999999999999E-2</v>
      </c>
      <c r="N5" s="11"/>
      <c r="O5" s="11"/>
      <c r="P5" s="11"/>
    </row>
    <row r="6" spans="1:16" ht="15" customHeight="1" x14ac:dyDescent="0.3">
      <c r="A6" s="19" t="s">
        <v>417</v>
      </c>
      <c r="B6" s="23">
        <v>0.09</v>
      </c>
      <c r="C6" s="23">
        <v>0.22</v>
      </c>
      <c r="D6" s="23">
        <v>0.05</v>
      </c>
      <c r="E6" s="27">
        <f t="shared" si="0"/>
        <v>4.4999999999999997E-3</v>
      </c>
      <c r="F6" s="23">
        <v>0.03</v>
      </c>
      <c r="G6" s="27">
        <f t="shared" si="1"/>
        <v>2.6999999999999997E-3</v>
      </c>
      <c r="H6" s="23">
        <v>0.08</v>
      </c>
      <c r="I6" s="27">
        <f t="shared" si="2"/>
        <v>7.1999999999999998E-3</v>
      </c>
      <c r="J6" s="23">
        <v>0.05</v>
      </c>
      <c r="K6" s="27">
        <f t="shared" si="3"/>
        <v>4.4999999999999997E-3</v>
      </c>
      <c r="L6" s="23">
        <v>0.03</v>
      </c>
      <c r="M6" s="27">
        <f t="shared" si="4"/>
        <v>2.6999999999999997E-3</v>
      </c>
      <c r="N6" s="11"/>
      <c r="O6" s="11"/>
      <c r="P6" s="11"/>
    </row>
    <row r="7" spans="1:16" ht="15" customHeight="1" x14ac:dyDescent="0.3">
      <c r="A7" s="19" t="s">
        <v>418</v>
      </c>
      <c r="B7" s="23">
        <v>7.0000000000000007E-2</v>
      </c>
      <c r="C7" s="23">
        <v>0.18</v>
      </c>
      <c r="D7" s="23">
        <v>0.08</v>
      </c>
      <c r="E7" s="27">
        <f t="shared" si="0"/>
        <v>5.6000000000000008E-3</v>
      </c>
      <c r="F7" s="23">
        <v>0.06</v>
      </c>
      <c r="G7" s="27">
        <f t="shared" si="1"/>
        <v>4.2000000000000006E-3</v>
      </c>
      <c r="H7" s="23">
        <v>0.1</v>
      </c>
      <c r="I7" s="27">
        <f t="shared" si="2"/>
        <v>7.000000000000001E-3</v>
      </c>
      <c r="J7" s="23">
        <v>0.08</v>
      </c>
      <c r="K7" s="27">
        <f t="shared" si="3"/>
        <v>5.6000000000000008E-3</v>
      </c>
      <c r="L7" s="23">
        <v>0.06</v>
      </c>
      <c r="M7" s="27">
        <f t="shared" si="4"/>
        <v>4.2000000000000006E-3</v>
      </c>
      <c r="N7" s="11"/>
      <c r="O7" s="11"/>
      <c r="P7" s="11"/>
    </row>
    <row r="8" spans="1:16" ht="15" customHeight="1" x14ac:dyDescent="0.3">
      <c r="A8" s="19" t="s">
        <v>419</v>
      </c>
      <c r="B8" s="23">
        <v>0.08</v>
      </c>
      <c r="C8" s="23">
        <v>0.24</v>
      </c>
      <c r="D8" s="23">
        <v>0.04</v>
      </c>
      <c r="E8" s="27">
        <f t="shared" si="0"/>
        <v>3.2000000000000002E-3</v>
      </c>
      <c r="F8" s="23">
        <v>0.02</v>
      </c>
      <c r="G8" s="27">
        <f t="shared" si="1"/>
        <v>1.6000000000000001E-3</v>
      </c>
      <c r="H8" s="23">
        <v>0.06</v>
      </c>
      <c r="I8" s="27">
        <f t="shared" si="2"/>
        <v>4.7999999999999996E-3</v>
      </c>
      <c r="J8" s="23">
        <v>0.04</v>
      </c>
      <c r="K8" s="27">
        <f t="shared" si="3"/>
        <v>3.2000000000000002E-3</v>
      </c>
      <c r="L8" s="23">
        <v>0.03</v>
      </c>
      <c r="M8" s="27">
        <f t="shared" si="4"/>
        <v>2.3999999999999998E-3</v>
      </c>
      <c r="N8" s="11"/>
      <c r="O8" s="11"/>
      <c r="P8" s="11"/>
    </row>
    <row r="9" spans="1:16" ht="15" customHeight="1" x14ac:dyDescent="0.3">
      <c r="A9" s="19" t="s">
        <v>728</v>
      </c>
      <c r="B9" s="23">
        <v>3.5000000000000003E-2</v>
      </c>
      <c r="C9" s="23">
        <v>0.05</v>
      </c>
      <c r="D9" s="23">
        <v>0.12</v>
      </c>
      <c r="E9" s="27">
        <f t="shared" si="0"/>
        <v>4.2000000000000006E-3</v>
      </c>
      <c r="F9" s="23">
        <v>0.25</v>
      </c>
      <c r="G9" s="27">
        <f t="shared" si="1"/>
        <v>8.7500000000000008E-3</v>
      </c>
      <c r="H9" s="23">
        <v>0.06</v>
      </c>
      <c r="I9" s="27">
        <f t="shared" si="2"/>
        <v>2.1000000000000003E-3</v>
      </c>
      <c r="J9" s="23">
        <v>0.12</v>
      </c>
      <c r="K9" s="27">
        <f t="shared" si="3"/>
        <v>4.2000000000000006E-3</v>
      </c>
      <c r="L9" s="23">
        <v>0.1</v>
      </c>
      <c r="M9" s="27">
        <f t="shared" si="4"/>
        <v>3.5000000000000005E-3</v>
      </c>
      <c r="N9" s="11"/>
      <c r="O9" s="11"/>
      <c r="P9" s="11"/>
    </row>
    <row r="10" spans="1:16" ht="15" customHeight="1" x14ac:dyDescent="0.3">
      <c r="A10" s="19" t="s">
        <v>421</v>
      </c>
      <c r="B10" s="23">
        <v>0.04</v>
      </c>
      <c r="C10" s="23">
        <v>0.14000000000000001</v>
      </c>
      <c r="D10" s="23">
        <v>0.05</v>
      </c>
      <c r="E10" s="27">
        <f t="shared" si="0"/>
        <v>2E-3</v>
      </c>
      <c r="F10" s="23">
        <v>0.1</v>
      </c>
      <c r="G10" s="27">
        <f t="shared" si="1"/>
        <v>4.0000000000000001E-3</v>
      </c>
      <c r="H10" s="23">
        <v>0.02</v>
      </c>
      <c r="I10" s="27">
        <f t="shared" si="2"/>
        <v>8.0000000000000004E-4</v>
      </c>
      <c r="J10" s="23">
        <v>0.05</v>
      </c>
      <c r="K10" s="27">
        <f t="shared" si="3"/>
        <v>2E-3</v>
      </c>
      <c r="L10" s="23">
        <v>0.03</v>
      </c>
      <c r="M10" s="27">
        <f t="shared" si="4"/>
        <v>1.1999999999999999E-3</v>
      </c>
      <c r="N10" s="11"/>
      <c r="O10" s="11"/>
      <c r="P10" s="11"/>
    </row>
    <row r="11" spans="1:16" ht="15" customHeight="1" x14ac:dyDescent="0.3">
      <c r="A11" s="19" t="s">
        <v>729</v>
      </c>
      <c r="B11" s="23">
        <v>3.5000000000000003E-2</v>
      </c>
      <c r="C11" s="23">
        <v>0.06</v>
      </c>
      <c r="D11" s="23">
        <v>0.03</v>
      </c>
      <c r="E11" s="27">
        <f t="shared" si="0"/>
        <v>1.0500000000000002E-3</v>
      </c>
      <c r="F11" s="23">
        <v>0.05</v>
      </c>
      <c r="G11" s="27">
        <f t="shared" si="1"/>
        <v>1.7500000000000003E-3</v>
      </c>
      <c r="H11" s="23">
        <v>0.02</v>
      </c>
      <c r="I11" s="27">
        <f t="shared" si="2"/>
        <v>7.000000000000001E-4</v>
      </c>
      <c r="J11" s="23">
        <v>0.03</v>
      </c>
      <c r="K11" s="27">
        <f t="shared" si="3"/>
        <v>1.0500000000000002E-3</v>
      </c>
      <c r="L11" s="23">
        <v>0.02</v>
      </c>
      <c r="M11" s="27">
        <f t="shared" si="4"/>
        <v>7.000000000000001E-4</v>
      </c>
      <c r="N11" s="11"/>
      <c r="O11" s="11"/>
      <c r="P11" s="11"/>
    </row>
    <row r="12" spans="1:16" ht="15" customHeight="1" x14ac:dyDescent="0.3">
      <c r="A12" s="19" t="s">
        <v>423</v>
      </c>
      <c r="B12" s="23">
        <v>0.08</v>
      </c>
      <c r="C12" s="23">
        <v>0.16</v>
      </c>
      <c r="D12" s="23">
        <v>0.08</v>
      </c>
      <c r="E12" s="27">
        <f t="shared" si="0"/>
        <v>6.4000000000000003E-3</v>
      </c>
      <c r="F12" s="23">
        <v>0.08</v>
      </c>
      <c r="G12" s="27">
        <f t="shared" si="1"/>
        <v>6.4000000000000003E-3</v>
      </c>
      <c r="H12" s="23">
        <v>0.08</v>
      </c>
      <c r="I12" s="27">
        <f t="shared" si="2"/>
        <v>6.4000000000000003E-3</v>
      </c>
      <c r="J12" s="23">
        <v>0.1</v>
      </c>
      <c r="K12" s="27">
        <f t="shared" si="3"/>
        <v>8.0000000000000002E-3</v>
      </c>
      <c r="L12" s="23">
        <v>0.06</v>
      </c>
      <c r="M12" s="27">
        <f t="shared" si="4"/>
        <v>4.7999999999999996E-3</v>
      </c>
      <c r="N12" s="11"/>
      <c r="O12" s="11"/>
      <c r="P12" s="11"/>
    </row>
    <row r="13" spans="1:16" ht="15" customHeight="1" x14ac:dyDescent="0.3">
      <c r="A13" s="19" t="s">
        <v>422</v>
      </c>
      <c r="B13" s="23">
        <v>0.09</v>
      </c>
      <c r="C13" s="23">
        <v>0.19</v>
      </c>
      <c r="D13" s="23">
        <v>0.05</v>
      </c>
      <c r="E13" s="27">
        <f t="shared" si="0"/>
        <v>4.4999999999999997E-3</v>
      </c>
      <c r="F13" s="23">
        <v>0.05</v>
      </c>
      <c r="G13" s="27">
        <f t="shared" si="1"/>
        <v>4.4999999999999997E-3</v>
      </c>
      <c r="H13" s="23">
        <v>0.06</v>
      </c>
      <c r="I13" s="27">
        <f t="shared" si="2"/>
        <v>5.3999999999999994E-3</v>
      </c>
      <c r="J13" s="23">
        <v>0.05</v>
      </c>
      <c r="K13" s="27">
        <f t="shared" si="3"/>
        <v>4.4999999999999997E-3</v>
      </c>
      <c r="L13" s="23">
        <v>0.04</v>
      </c>
      <c r="M13" s="27">
        <f t="shared" si="4"/>
        <v>3.5999999999999999E-3</v>
      </c>
      <c r="N13" s="11"/>
      <c r="O13" s="11"/>
      <c r="P13" s="11"/>
    </row>
    <row r="14" spans="1:16" ht="15" customHeight="1" x14ac:dyDescent="0.3">
      <c r="A14" s="19" t="s">
        <v>424</v>
      </c>
      <c r="B14" s="23">
        <v>0.06</v>
      </c>
      <c r="C14" s="23">
        <v>0.12</v>
      </c>
      <c r="D14" s="23">
        <v>0.1</v>
      </c>
      <c r="E14" s="27">
        <f t="shared" si="0"/>
        <v>6.0000000000000001E-3</v>
      </c>
      <c r="F14" s="23">
        <v>0.08</v>
      </c>
      <c r="G14" s="27">
        <f t="shared" si="1"/>
        <v>4.7999999999999996E-3</v>
      </c>
      <c r="H14" s="23">
        <v>0.1</v>
      </c>
      <c r="I14" s="27">
        <f t="shared" si="2"/>
        <v>6.0000000000000001E-3</v>
      </c>
      <c r="J14" s="23">
        <v>0.15</v>
      </c>
      <c r="K14" s="27">
        <f t="shared" si="3"/>
        <v>8.9999999999999993E-3</v>
      </c>
      <c r="L14" s="23">
        <v>0.08</v>
      </c>
      <c r="M14" s="27">
        <f t="shared" si="4"/>
        <v>4.7999999999999996E-3</v>
      </c>
      <c r="N14" s="11"/>
      <c r="O14" s="11"/>
      <c r="P14" s="11"/>
    </row>
    <row r="15" spans="1:16" ht="15" customHeight="1" x14ac:dyDescent="0.3">
      <c r="A15" s="19" t="s">
        <v>425</v>
      </c>
      <c r="B15" s="23">
        <v>0.01</v>
      </c>
      <c r="C15" s="23">
        <v>0.1</v>
      </c>
      <c r="D15" s="23">
        <v>0.04</v>
      </c>
      <c r="E15" s="27">
        <f t="shared" si="0"/>
        <v>4.0000000000000002E-4</v>
      </c>
      <c r="F15" s="23">
        <v>0.05</v>
      </c>
      <c r="G15" s="27">
        <f t="shared" si="1"/>
        <v>5.0000000000000001E-4</v>
      </c>
      <c r="H15" s="23">
        <v>0.02</v>
      </c>
      <c r="I15" s="27">
        <f t="shared" si="2"/>
        <v>2.0000000000000001E-4</v>
      </c>
      <c r="J15" s="23">
        <v>0.03</v>
      </c>
      <c r="K15" s="27">
        <f t="shared" si="3"/>
        <v>2.9999999999999997E-4</v>
      </c>
      <c r="L15" s="23">
        <v>0.02</v>
      </c>
      <c r="M15" s="27">
        <f t="shared" si="4"/>
        <v>2.0000000000000001E-4</v>
      </c>
      <c r="N15" s="11"/>
      <c r="O15" s="11"/>
      <c r="P15" s="11"/>
    </row>
    <row r="16" spans="1:16" ht="15" customHeight="1" x14ac:dyDescent="0.3">
      <c r="A16" s="19" t="s">
        <v>730</v>
      </c>
      <c r="B16" s="23">
        <v>7.0000000000000007E-2</v>
      </c>
      <c r="C16" s="23">
        <v>0.1</v>
      </c>
      <c r="D16" s="23">
        <v>0.04</v>
      </c>
      <c r="E16" s="27">
        <f t="shared" si="0"/>
        <v>2.8000000000000004E-3</v>
      </c>
      <c r="F16" s="23">
        <v>0.04</v>
      </c>
      <c r="G16" s="27">
        <f t="shared" si="1"/>
        <v>2.8000000000000004E-3</v>
      </c>
      <c r="H16" s="23">
        <v>0.02</v>
      </c>
      <c r="I16" s="27">
        <f t="shared" si="2"/>
        <v>1.4000000000000002E-3</v>
      </c>
      <c r="J16" s="23">
        <v>0.02</v>
      </c>
      <c r="K16" s="27">
        <f t="shared" si="3"/>
        <v>1.4000000000000002E-3</v>
      </c>
      <c r="L16" s="23">
        <v>0.25</v>
      </c>
      <c r="M16" s="27">
        <f t="shared" si="4"/>
        <v>1.7500000000000002E-2</v>
      </c>
      <c r="N16" s="11"/>
      <c r="O16" s="11"/>
      <c r="P16" s="11"/>
    </row>
    <row r="17" spans="1:16" ht="15" customHeight="1" x14ac:dyDescent="0.3">
      <c r="A17" s="19" t="s">
        <v>426</v>
      </c>
      <c r="B17" s="23">
        <v>4.4999999999999998E-2</v>
      </c>
      <c r="C17" s="23">
        <v>0.01</v>
      </c>
      <c r="D17" s="23">
        <v>0.04</v>
      </c>
      <c r="E17" s="27">
        <f t="shared" si="0"/>
        <v>1.8E-3</v>
      </c>
      <c r="F17" s="23">
        <v>0.04</v>
      </c>
      <c r="G17" s="27">
        <f t="shared" si="1"/>
        <v>1.8E-3</v>
      </c>
      <c r="H17" s="23">
        <v>0.03</v>
      </c>
      <c r="I17" s="27">
        <f t="shared" si="2"/>
        <v>1.3499999999999999E-3</v>
      </c>
      <c r="J17" s="23">
        <v>0.03</v>
      </c>
      <c r="K17" s="27">
        <f t="shared" si="3"/>
        <v>1.3499999999999999E-3</v>
      </c>
      <c r="L17" s="23">
        <v>0.1</v>
      </c>
      <c r="M17" s="27">
        <f t="shared" si="4"/>
        <v>4.4999999999999997E-3</v>
      </c>
      <c r="N17" s="11"/>
      <c r="O17" s="11"/>
      <c r="P17" s="11"/>
    </row>
    <row r="18" spans="1:16" ht="15" customHeight="1" x14ac:dyDescent="0.3">
      <c r="A18" s="46" t="s">
        <v>427</v>
      </c>
      <c r="B18" s="11"/>
      <c r="C18" s="11"/>
      <c r="D18" s="47">
        <f t="shared" ref="D18:M18" si="5">SUM(D5:D17)</f>
        <v>1.0000000000000002</v>
      </c>
      <c r="E18" s="27">
        <f t="shared" si="5"/>
        <v>7.0449999999999999E-2</v>
      </c>
      <c r="F18" s="47">
        <f t="shared" si="5"/>
        <v>1</v>
      </c>
      <c r="G18" s="27">
        <f t="shared" si="5"/>
        <v>5.8800000000000012E-2</v>
      </c>
      <c r="H18" s="47">
        <f t="shared" si="5"/>
        <v>1</v>
      </c>
      <c r="I18" s="27">
        <f t="shared" si="5"/>
        <v>7.8350000000000003E-2</v>
      </c>
      <c r="J18" s="47">
        <f t="shared" si="5"/>
        <v>1.0000000000000002</v>
      </c>
      <c r="K18" s="27">
        <f t="shared" si="5"/>
        <v>7.010000000000001E-2</v>
      </c>
      <c r="L18" s="47">
        <f t="shared" si="5"/>
        <v>1</v>
      </c>
      <c r="M18" s="27">
        <f t="shared" si="5"/>
        <v>6.8099999999999994E-2</v>
      </c>
      <c r="N18" s="11"/>
      <c r="O18" s="11"/>
      <c r="P18" s="11"/>
    </row>
    <row r="19" spans="1:16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5" customHeight="1" x14ac:dyDescent="0.3">
      <c r="A20" s="69" t="s">
        <v>731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5" customHeight="1" x14ac:dyDescent="0.3">
      <c r="A21" s="32" t="s">
        <v>365</v>
      </c>
      <c r="B21" s="32" t="s">
        <v>218</v>
      </c>
      <c r="C21" s="32" t="s">
        <v>732</v>
      </c>
      <c r="D21" s="32" t="s">
        <v>733</v>
      </c>
      <c r="E21" s="32" t="s">
        <v>734</v>
      </c>
      <c r="F21" s="32" t="s">
        <v>735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" customHeight="1" x14ac:dyDescent="0.3">
      <c r="A22" s="19" t="s">
        <v>736</v>
      </c>
      <c r="B22" s="27">
        <f>E18</f>
        <v>7.0449999999999999E-2</v>
      </c>
      <c r="C22" s="27">
        <f>G18</f>
        <v>5.8800000000000012E-2</v>
      </c>
      <c r="D22" s="27">
        <f>I18</f>
        <v>7.8350000000000003E-2</v>
      </c>
      <c r="E22" s="27">
        <f>K18</f>
        <v>7.010000000000001E-2</v>
      </c>
      <c r="F22" s="27">
        <f>M18</f>
        <v>6.8099999999999994E-2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15" customHeight="1" x14ac:dyDescent="0.3">
      <c r="A23" s="19" t="s">
        <v>737</v>
      </c>
      <c r="B23" s="27">
        <f>SUMPRODUCT(D$5:D$17,$C$5:$C$17)</f>
        <v>0.13730000000000006</v>
      </c>
      <c r="C23" s="27">
        <f>SUMPRODUCT(F$5:F$17,$C$5:$C$17)</f>
        <v>0.11700000000000001</v>
      </c>
      <c r="D23" s="27">
        <f>SUMPRODUCT(H$5:H$17,$C$5:$C$17)</f>
        <v>0.1535</v>
      </c>
      <c r="E23" s="27">
        <f>SUMPRODUCT(J$5:J$17,$C$5:$C$17)</f>
        <v>0.1386</v>
      </c>
      <c r="F23" s="27">
        <f>SUMPRODUCT(L$5:L$17,$C$5:$C$17)</f>
        <v>0.11859999999999998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5" customHeight="1" x14ac:dyDescent="0.3">
      <c r="A24" s="19" t="s">
        <v>738</v>
      </c>
      <c r="B24" s="42">
        <f>IF(B23=0,0,(B22-'Data Input'!$B$4)/B23)</f>
        <v>0.51310997815003623</v>
      </c>
      <c r="C24" s="42">
        <f>IF(C23=0,0,(C22-'Data Input'!$B$4)/C23)</f>
        <v>0.50256410256410267</v>
      </c>
      <c r="D24" s="42">
        <f>IF(D23=0,0,(D22-'Data Input'!$B$4)/D23)</f>
        <v>0.51042345276872969</v>
      </c>
      <c r="E24" s="42">
        <f>IF(E23=0,0,(E22-'Data Input'!$B$4)/E23)</f>
        <v>0.50577200577200587</v>
      </c>
      <c r="F24" s="42">
        <f>IF(F23=0,0,(F22-'Data Input'!$B$4)/F23)</f>
        <v>0.57419898819561555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5" customHeight="1" x14ac:dyDescent="0.3">
      <c r="A25" s="19" t="s">
        <v>368</v>
      </c>
      <c r="B25" s="27">
        <f>B23*1.645/SQRT(252)</f>
        <v>1.4227748154525764E-2</v>
      </c>
      <c r="C25" s="27">
        <f>C23*1.645/SQRT(252)</f>
        <v>1.2124155382953488E-2</v>
      </c>
      <c r="D25" s="27">
        <f>D23*1.645/SQRT(252)</f>
        <v>1.5906477361396238E-2</v>
      </c>
      <c r="E25" s="27">
        <f>E23*1.645/SQRT(252)</f>
        <v>1.4362460992114129E-2</v>
      </c>
      <c r="F25" s="27">
        <f>F23*1.645/SQRT(252)</f>
        <v>1.2289955798446864E-2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5" customHeight="1" x14ac:dyDescent="0.3">
      <c r="A26" s="19" t="s">
        <v>739</v>
      </c>
      <c r="B26" s="47">
        <f>-B23*2.5</f>
        <v>-0.34325000000000017</v>
      </c>
      <c r="C26" s="47">
        <f>-C23*2.5</f>
        <v>-0.29250000000000004</v>
      </c>
      <c r="D26" s="47">
        <f>-D23*2.5</f>
        <v>-0.38374999999999998</v>
      </c>
      <c r="E26" s="47">
        <f>-E23*2.5</f>
        <v>-0.34650000000000003</v>
      </c>
      <c r="F26" s="47">
        <f>-F23*2.5</f>
        <v>-0.29649999999999999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5" customHeight="1" x14ac:dyDescent="0.3">
      <c r="A27" s="19" t="s">
        <v>740</v>
      </c>
      <c r="B27" s="71">
        <f ca="1">'Data Input'!$B$7*(1+B22)^5</f>
        <v>0.22488056055649341</v>
      </c>
      <c r="C27" s="71">
        <f ca="1">'Data Input'!$B$7*(1+C22)^5</f>
        <v>0.21290685553049268</v>
      </c>
      <c r="D27" s="71">
        <f ca="1">'Data Input'!$B$7*(1+D22)^5</f>
        <v>0.23330212578929058</v>
      </c>
      <c r="E27" s="71">
        <f ca="1">'Data Input'!$B$7*(1+E22)^5</f>
        <v>0.22451316019531997</v>
      </c>
      <c r="F27" s="71">
        <f ca="1">'Data Input'!$B$7*(1+F22)^5</f>
        <v>0.22242293027172907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5" customHeight="1" x14ac:dyDescent="0.3">
      <c r="A28" s="19" t="s">
        <v>741</v>
      </c>
      <c r="B28" s="71">
        <f ca="1">'Data Input'!$B$7*(1+B22)^10</f>
        <v>0.31607041572626687</v>
      </c>
      <c r="C28" s="71">
        <f ca="1">'Data Input'!$B$7*(1+C22)^10</f>
        <v>0.28330830707426308</v>
      </c>
      <c r="D28" s="71">
        <f ca="1">'Data Input'!$B$7*(1+D22)^10</f>
        <v>0.34018676186126234</v>
      </c>
      <c r="E28" s="71">
        <f ca="1">'Data Input'!$B$7*(1+E22)^10</f>
        <v>0.31503849438055886</v>
      </c>
      <c r="F28" s="71">
        <f ca="1">'Data Input'!$B$7*(1+F22)^10</f>
        <v>0.3091997494416403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" customHeight="1" x14ac:dyDescent="0.3">
      <c r="A29" s="19" t="s">
        <v>742</v>
      </c>
      <c r="B29" s="47">
        <f>SUM(D5:D8)</f>
        <v>0.45</v>
      </c>
      <c r="C29" s="47">
        <f>SUM(F5:F8)</f>
        <v>0.26</v>
      </c>
      <c r="D29" s="47">
        <f>SUM(H5:H8)</f>
        <v>0.59000000000000008</v>
      </c>
      <c r="E29" s="47">
        <f>SUM(J5:J8)</f>
        <v>0.42</v>
      </c>
      <c r="F29" s="47">
        <f>SUM(L5:L8)</f>
        <v>0.30000000000000004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ht="15" customHeight="1" x14ac:dyDescent="0.3">
      <c r="A30" s="19" t="s">
        <v>743</v>
      </c>
      <c r="B30" s="47">
        <f>SUM(D9:D11)</f>
        <v>0.19999999999999998</v>
      </c>
      <c r="C30" s="47">
        <f>SUM(F9:F11)</f>
        <v>0.39999999999999997</v>
      </c>
      <c r="D30" s="47">
        <f>SUM(H9:H11)</f>
        <v>0.1</v>
      </c>
      <c r="E30" s="47">
        <f>SUM(J9:J11)</f>
        <v>0.19999999999999998</v>
      </c>
      <c r="F30" s="47">
        <f>SUM(L9:L11)</f>
        <v>0.15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5" customHeight="1" x14ac:dyDescent="0.3">
      <c r="A31" s="19" t="s">
        <v>744</v>
      </c>
      <c r="B31" s="47">
        <f>SUM(D12:D15)</f>
        <v>0.27</v>
      </c>
      <c r="C31" s="47">
        <f>SUM(F12:F15)</f>
        <v>0.26</v>
      </c>
      <c r="D31" s="47">
        <f>SUM(H12:H15)</f>
        <v>0.26</v>
      </c>
      <c r="E31" s="47">
        <f>SUM(J12:J15)</f>
        <v>0.33000000000000007</v>
      </c>
      <c r="F31" s="47">
        <f>SUM(L12:L15)</f>
        <v>0.19999999999999998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" customHeight="1" x14ac:dyDescent="0.3">
      <c r="A32" s="19" t="s">
        <v>745</v>
      </c>
      <c r="B32" s="47">
        <f>D16</f>
        <v>0.04</v>
      </c>
      <c r="C32" s="47">
        <f>F16</f>
        <v>0.04</v>
      </c>
      <c r="D32" s="47">
        <f>H16</f>
        <v>0.02</v>
      </c>
      <c r="E32" s="47">
        <f>J16</f>
        <v>0.02</v>
      </c>
      <c r="F32" s="47">
        <f>L16</f>
        <v>0.25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1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ht="15" customHeight="1" x14ac:dyDescent="0.3">
      <c r="A34" s="69" t="s">
        <v>746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ht="15" customHeight="1" x14ac:dyDescent="0.3">
      <c r="A35" s="19" t="s">
        <v>747</v>
      </c>
      <c r="B35" s="17" t="str">
        <f>INDEX(B$21:F$21,MATCH(MAX(B22:F22),B22:F22,0))</f>
        <v>Growth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5" customHeight="1" x14ac:dyDescent="0.3">
      <c r="A36" s="19" t="s">
        <v>748</v>
      </c>
      <c r="B36" s="17" t="str">
        <f>INDEX(B$21:F$21,MATCH(MAX(B24:F24),B24:F24,0))</f>
        <v>Buffered Tilt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ht="15" customHeight="1" x14ac:dyDescent="0.3">
      <c r="A37" s="19" t="s">
        <v>749</v>
      </c>
      <c r="B37" s="17" t="str">
        <f>INDEX(B$21:F$21,MATCH(MIN(B23:F23),B23:F23,0))</f>
        <v>Conservative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97316"/>
  </sheetPr>
  <dimension ref="A1:F80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30" customWidth="1"/>
    <col min="3" max="3" width="12" customWidth="1"/>
    <col min="4" max="4" width="22" customWidth="1"/>
    <col min="5" max="6" width="12" customWidth="1"/>
  </cols>
  <sheetData>
    <row r="1" spans="1:6" ht="17.25" customHeight="1" x14ac:dyDescent="0.3">
      <c r="A1" s="10" t="s">
        <v>750</v>
      </c>
      <c r="B1" s="11"/>
      <c r="C1" s="11"/>
      <c r="D1" s="11"/>
      <c r="E1" s="11"/>
      <c r="F1" s="11"/>
    </row>
    <row r="2" spans="1:6" ht="15" customHeight="1" x14ac:dyDescent="0.3">
      <c r="A2" s="11"/>
      <c r="B2" s="11"/>
      <c r="C2" s="11"/>
      <c r="D2" s="11"/>
      <c r="E2" s="11"/>
      <c r="F2" s="11"/>
    </row>
    <row r="3" spans="1:6" ht="15" customHeight="1" x14ac:dyDescent="0.3">
      <c r="A3" s="18" t="s">
        <v>751</v>
      </c>
      <c r="B3" s="11"/>
      <c r="C3" s="11"/>
      <c r="D3" s="11"/>
      <c r="E3" s="11"/>
      <c r="F3" s="11"/>
    </row>
    <row r="4" spans="1:6" ht="15" customHeight="1" x14ac:dyDescent="0.3">
      <c r="A4" s="5" t="s">
        <v>752</v>
      </c>
      <c r="B4" s="5"/>
      <c r="C4" s="5"/>
      <c r="D4" s="5"/>
      <c r="E4" s="5"/>
      <c r="F4" s="5"/>
    </row>
    <row r="5" spans="1:6" ht="45" customHeight="1" x14ac:dyDescent="0.3">
      <c r="A5" s="3" t="s">
        <v>753</v>
      </c>
      <c r="B5" s="3"/>
      <c r="C5" s="3"/>
      <c r="D5" s="3"/>
      <c r="E5" s="3"/>
      <c r="F5" s="3"/>
    </row>
    <row r="6" spans="1:6" ht="15" customHeight="1" x14ac:dyDescent="0.3">
      <c r="A6" s="11"/>
      <c r="B6" s="11"/>
      <c r="C6" s="11"/>
      <c r="D6" s="11"/>
      <c r="E6" s="11"/>
      <c r="F6" s="11"/>
    </row>
    <row r="7" spans="1:6" ht="15" customHeight="1" x14ac:dyDescent="0.3">
      <c r="A7" s="5" t="s">
        <v>754</v>
      </c>
      <c r="B7" s="5"/>
      <c r="C7" s="5"/>
      <c r="D7" s="5"/>
      <c r="E7" s="5"/>
      <c r="F7" s="5"/>
    </row>
    <row r="8" spans="1:6" ht="45" customHeight="1" x14ac:dyDescent="0.3">
      <c r="A8" s="3" t="s">
        <v>755</v>
      </c>
      <c r="B8" s="3"/>
      <c r="C8" s="3"/>
      <c r="D8" s="3"/>
      <c r="E8" s="3"/>
      <c r="F8" s="3"/>
    </row>
    <row r="9" spans="1:6" ht="15" customHeight="1" x14ac:dyDescent="0.3">
      <c r="A9" s="11"/>
      <c r="B9" s="11"/>
      <c r="C9" s="11"/>
      <c r="D9" s="11"/>
      <c r="E9" s="11"/>
      <c r="F9" s="11"/>
    </row>
    <row r="10" spans="1:6" ht="15" customHeight="1" x14ac:dyDescent="0.3">
      <c r="A10" s="5" t="s">
        <v>756</v>
      </c>
      <c r="B10" s="5"/>
      <c r="C10" s="5"/>
      <c r="D10" s="5"/>
      <c r="E10" s="5"/>
      <c r="F10" s="5"/>
    </row>
    <row r="11" spans="1:6" ht="45" customHeight="1" x14ac:dyDescent="0.3">
      <c r="A11" s="3" t="s">
        <v>757</v>
      </c>
      <c r="B11" s="3"/>
      <c r="C11" s="3"/>
      <c r="D11" s="3"/>
      <c r="E11" s="3"/>
      <c r="F11" s="3"/>
    </row>
    <row r="12" spans="1:6" ht="15" customHeight="1" x14ac:dyDescent="0.3">
      <c r="A12" s="11"/>
      <c r="B12" s="11"/>
      <c r="C12" s="11"/>
      <c r="D12" s="11"/>
      <c r="E12" s="11"/>
      <c r="F12" s="11"/>
    </row>
    <row r="13" spans="1:6" ht="15" customHeight="1" x14ac:dyDescent="0.3">
      <c r="A13" s="18" t="s">
        <v>758</v>
      </c>
      <c r="B13" s="11"/>
      <c r="C13" s="11"/>
      <c r="D13" s="11"/>
      <c r="E13" s="11"/>
      <c r="F13" s="11"/>
    </row>
    <row r="14" spans="1:6" ht="15" customHeight="1" x14ac:dyDescent="0.3">
      <c r="A14" s="32" t="s">
        <v>759</v>
      </c>
      <c r="B14" s="32" t="s">
        <v>760</v>
      </c>
      <c r="C14" s="32" t="s">
        <v>761</v>
      </c>
      <c r="D14" s="32" t="s">
        <v>762</v>
      </c>
      <c r="E14" s="32" t="s">
        <v>763</v>
      </c>
      <c r="F14" s="11"/>
    </row>
    <row r="15" spans="1:6" ht="15" customHeight="1" x14ac:dyDescent="0.3">
      <c r="A15" s="80" t="s">
        <v>764</v>
      </c>
      <c r="B15" s="19" t="s">
        <v>765</v>
      </c>
      <c r="C15" s="67" t="s">
        <v>766</v>
      </c>
      <c r="D15" s="19" t="s">
        <v>767</v>
      </c>
      <c r="E15" s="67" t="s">
        <v>768</v>
      </c>
      <c r="F15" s="11"/>
    </row>
    <row r="16" spans="1:6" ht="15" customHeight="1" x14ac:dyDescent="0.3">
      <c r="A16" s="80" t="s">
        <v>769</v>
      </c>
      <c r="B16" s="19" t="s">
        <v>770</v>
      </c>
      <c r="C16" s="67" t="s">
        <v>771</v>
      </c>
      <c r="D16" s="19" t="s">
        <v>772</v>
      </c>
      <c r="E16" s="67" t="s">
        <v>773</v>
      </c>
      <c r="F16" s="11"/>
    </row>
    <row r="17" spans="1:6" ht="15" customHeight="1" x14ac:dyDescent="0.3">
      <c r="A17" s="80" t="s">
        <v>774</v>
      </c>
      <c r="B17" s="19" t="s">
        <v>775</v>
      </c>
      <c r="C17" s="67" t="s">
        <v>771</v>
      </c>
      <c r="D17" s="19" t="s">
        <v>776</v>
      </c>
      <c r="E17" s="67" t="s">
        <v>773</v>
      </c>
      <c r="F17" s="11"/>
    </row>
    <row r="18" spans="1:6" ht="15" customHeight="1" x14ac:dyDescent="0.3">
      <c r="A18" s="80" t="s">
        <v>777</v>
      </c>
      <c r="B18" s="19" t="s">
        <v>778</v>
      </c>
      <c r="C18" s="67" t="s">
        <v>771</v>
      </c>
      <c r="D18" s="19" t="s">
        <v>779</v>
      </c>
      <c r="E18" s="67" t="s">
        <v>773</v>
      </c>
      <c r="F18" s="11"/>
    </row>
    <row r="19" spans="1:6" ht="15" customHeight="1" x14ac:dyDescent="0.3">
      <c r="A19" s="80" t="s">
        <v>780</v>
      </c>
      <c r="B19" s="19" t="s">
        <v>781</v>
      </c>
      <c r="C19" s="67" t="s">
        <v>782</v>
      </c>
      <c r="D19" s="19" t="s">
        <v>783</v>
      </c>
      <c r="E19" s="67" t="s">
        <v>773</v>
      </c>
      <c r="F19" s="11"/>
    </row>
    <row r="20" spans="1:6" ht="15" customHeight="1" x14ac:dyDescent="0.3">
      <c r="A20" s="80" t="s">
        <v>784</v>
      </c>
      <c r="B20" s="19" t="s">
        <v>785</v>
      </c>
      <c r="C20" s="67" t="s">
        <v>782</v>
      </c>
      <c r="D20" s="19" t="s">
        <v>786</v>
      </c>
      <c r="E20" s="67" t="s">
        <v>773</v>
      </c>
      <c r="F20" s="11"/>
    </row>
    <row r="21" spans="1:6" ht="15" customHeight="1" x14ac:dyDescent="0.3">
      <c r="A21" s="80" t="s">
        <v>787</v>
      </c>
      <c r="B21" s="19" t="s">
        <v>788</v>
      </c>
      <c r="C21" s="67" t="s">
        <v>782</v>
      </c>
      <c r="D21" s="19" t="s">
        <v>789</v>
      </c>
      <c r="E21" s="67" t="s">
        <v>773</v>
      </c>
      <c r="F21" s="11"/>
    </row>
    <row r="22" spans="1:6" ht="15" customHeight="1" x14ac:dyDescent="0.3">
      <c r="A22" s="80" t="s">
        <v>790</v>
      </c>
      <c r="B22" s="19" t="s">
        <v>791</v>
      </c>
      <c r="C22" s="67" t="s">
        <v>792</v>
      </c>
      <c r="D22" s="19" t="s">
        <v>793</v>
      </c>
      <c r="E22" s="67" t="s">
        <v>773</v>
      </c>
      <c r="F22" s="11"/>
    </row>
    <row r="23" spans="1:6" ht="15" customHeight="1" x14ac:dyDescent="0.3">
      <c r="A23" s="80" t="s">
        <v>794</v>
      </c>
      <c r="B23" s="19" t="s">
        <v>795</v>
      </c>
      <c r="C23" s="67" t="s">
        <v>796</v>
      </c>
      <c r="D23" s="19" t="s">
        <v>797</v>
      </c>
      <c r="E23" s="67" t="s">
        <v>773</v>
      </c>
      <c r="F23" s="11"/>
    </row>
    <row r="24" spans="1:6" ht="15" customHeight="1" x14ac:dyDescent="0.3">
      <c r="A24" s="80" t="s">
        <v>798</v>
      </c>
      <c r="B24" s="19" t="s">
        <v>799</v>
      </c>
      <c r="C24" s="67" t="s">
        <v>800</v>
      </c>
      <c r="D24" s="19" t="s">
        <v>801</v>
      </c>
      <c r="E24" s="67" t="s">
        <v>773</v>
      </c>
      <c r="F24" s="11"/>
    </row>
    <row r="25" spans="1:6" ht="15" customHeight="1" x14ac:dyDescent="0.3">
      <c r="A25" s="80" t="s">
        <v>802</v>
      </c>
      <c r="B25" s="19" t="s">
        <v>803</v>
      </c>
      <c r="C25" s="67" t="s">
        <v>800</v>
      </c>
      <c r="D25" s="19" t="s">
        <v>804</v>
      </c>
      <c r="E25" s="67" t="s">
        <v>773</v>
      </c>
      <c r="F25" s="11"/>
    </row>
    <row r="26" spans="1:6" ht="15" customHeight="1" x14ac:dyDescent="0.3">
      <c r="A26" s="80" t="s">
        <v>805</v>
      </c>
      <c r="B26" s="19" t="s">
        <v>806</v>
      </c>
      <c r="C26" s="67" t="s">
        <v>800</v>
      </c>
      <c r="D26" s="19" t="s">
        <v>807</v>
      </c>
      <c r="E26" s="67" t="s">
        <v>773</v>
      </c>
      <c r="F26" s="11"/>
    </row>
    <row r="27" spans="1:6" ht="15" customHeight="1" x14ac:dyDescent="0.3">
      <c r="A27" s="80" t="s">
        <v>808</v>
      </c>
      <c r="B27" s="19" t="s">
        <v>809</v>
      </c>
      <c r="C27" s="67" t="s">
        <v>810</v>
      </c>
      <c r="D27" s="19" t="s">
        <v>811</v>
      </c>
      <c r="E27" s="67" t="s">
        <v>812</v>
      </c>
      <c r="F27" s="11"/>
    </row>
    <row r="28" spans="1:6" ht="15" customHeight="1" x14ac:dyDescent="0.3">
      <c r="A28" s="80" t="s">
        <v>813</v>
      </c>
      <c r="B28" s="19" t="s">
        <v>814</v>
      </c>
      <c r="C28" s="67" t="s">
        <v>815</v>
      </c>
      <c r="D28" s="19" t="s">
        <v>811</v>
      </c>
      <c r="E28" s="67" t="s">
        <v>812</v>
      </c>
      <c r="F28" s="11"/>
    </row>
    <row r="29" spans="1:6" ht="15" customHeight="1" x14ac:dyDescent="0.3">
      <c r="A29" s="80" t="s">
        <v>816</v>
      </c>
      <c r="B29" s="19" t="s">
        <v>817</v>
      </c>
      <c r="C29" s="67" t="s">
        <v>818</v>
      </c>
      <c r="D29" s="19" t="s">
        <v>811</v>
      </c>
      <c r="E29" s="67" t="s">
        <v>773</v>
      </c>
      <c r="F29" s="11"/>
    </row>
    <row r="30" spans="1:6" ht="15" customHeight="1" x14ac:dyDescent="0.3">
      <c r="A30" s="80" t="s">
        <v>819</v>
      </c>
      <c r="B30" s="19" t="s">
        <v>820</v>
      </c>
      <c r="C30" s="67" t="s">
        <v>818</v>
      </c>
      <c r="D30" s="19" t="s">
        <v>811</v>
      </c>
      <c r="E30" s="67" t="s">
        <v>773</v>
      </c>
      <c r="F30" s="11"/>
    </row>
    <row r="31" spans="1:6" ht="15" customHeight="1" x14ac:dyDescent="0.3">
      <c r="A31" s="80" t="s">
        <v>821</v>
      </c>
      <c r="B31" s="19" t="s">
        <v>822</v>
      </c>
      <c r="C31" s="67" t="s">
        <v>818</v>
      </c>
      <c r="D31" s="19" t="s">
        <v>811</v>
      </c>
      <c r="E31" s="67" t="s">
        <v>773</v>
      </c>
      <c r="F31" s="11"/>
    </row>
    <row r="32" spans="1:6" ht="15" customHeight="1" x14ac:dyDescent="0.3">
      <c r="A32" s="80" t="s">
        <v>823</v>
      </c>
      <c r="B32" s="19" t="s">
        <v>824</v>
      </c>
      <c r="C32" s="67" t="s">
        <v>796</v>
      </c>
      <c r="D32" s="19" t="s">
        <v>825</v>
      </c>
      <c r="E32" s="67" t="s">
        <v>773</v>
      </c>
      <c r="F32" s="11"/>
    </row>
    <row r="33" spans="1:6" ht="15" customHeight="1" x14ac:dyDescent="0.3">
      <c r="A33" s="80" t="s">
        <v>826</v>
      </c>
      <c r="B33" s="19" t="s">
        <v>827</v>
      </c>
      <c r="C33" s="67" t="s">
        <v>796</v>
      </c>
      <c r="D33" s="19" t="s">
        <v>825</v>
      </c>
      <c r="E33" s="67" t="s">
        <v>773</v>
      </c>
      <c r="F33" s="11"/>
    </row>
    <row r="34" spans="1:6" ht="15" customHeight="1" x14ac:dyDescent="0.3">
      <c r="A34" s="80" t="s">
        <v>828</v>
      </c>
      <c r="B34" s="19" t="s">
        <v>829</v>
      </c>
      <c r="C34" s="67" t="s">
        <v>733</v>
      </c>
      <c r="D34" s="19" t="s">
        <v>825</v>
      </c>
      <c r="E34" s="67" t="s">
        <v>324</v>
      </c>
      <c r="F34" s="11"/>
    </row>
    <row r="35" spans="1:6" ht="15" customHeight="1" x14ac:dyDescent="0.3">
      <c r="A35" s="80" t="s">
        <v>830</v>
      </c>
      <c r="B35" s="19" t="s">
        <v>831</v>
      </c>
      <c r="C35" s="67" t="s">
        <v>733</v>
      </c>
      <c r="D35" s="19" t="s">
        <v>825</v>
      </c>
      <c r="E35" s="67" t="s">
        <v>324</v>
      </c>
      <c r="F35" s="11"/>
    </row>
    <row r="36" spans="1:6" ht="15" customHeight="1" x14ac:dyDescent="0.3">
      <c r="A36" s="80" t="s">
        <v>832</v>
      </c>
      <c r="B36" s="19" t="s">
        <v>833</v>
      </c>
      <c r="C36" s="67" t="s">
        <v>834</v>
      </c>
      <c r="D36" s="19" t="s">
        <v>825</v>
      </c>
      <c r="E36" s="67" t="s">
        <v>324</v>
      </c>
      <c r="F36" s="11"/>
    </row>
    <row r="37" spans="1:6" ht="15" customHeight="1" x14ac:dyDescent="0.3">
      <c r="A37" s="80" t="s">
        <v>835</v>
      </c>
      <c r="B37" s="19" t="s">
        <v>836</v>
      </c>
      <c r="C37" s="67" t="s">
        <v>837</v>
      </c>
      <c r="D37" s="19" t="s">
        <v>825</v>
      </c>
      <c r="E37" s="67" t="s">
        <v>324</v>
      </c>
      <c r="F37" s="11"/>
    </row>
    <row r="38" spans="1:6" ht="15" customHeight="1" x14ac:dyDescent="0.3">
      <c r="A38" s="80" t="s">
        <v>838</v>
      </c>
      <c r="B38" s="19" t="s">
        <v>839</v>
      </c>
      <c r="C38" s="67" t="s">
        <v>840</v>
      </c>
      <c r="D38" s="19" t="s">
        <v>825</v>
      </c>
      <c r="E38" s="67" t="s">
        <v>324</v>
      </c>
      <c r="F38" s="11"/>
    </row>
    <row r="39" spans="1:6" ht="15" customHeight="1" x14ac:dyDescent="0.3">
      <c r="A39" s="11"/>
      <c r="B39" s="11"/>
      <c r="C39" s="11"/>
      <c r="D39" s="11"/>
      <c r="E39" s="11"/>
      <c r="F39" s="11"/>
    </row>
    <row r="40" spans="1:6" ht="15" customHeight="1" x14ac:dyDescent="0.3">
      <c r="A40" s="18" t="s">
        <v>841</v>
      </c>
      <c r="B40" s="11"/>
      <c r="C40" s="11"/>
      <c r="D40" s="11"/>
      <c r="E40" s="11"/>
      <c r="F40" s="11"/>
    </row>
    <row r="41" spans="1:6" ht="15" customHeight="1" x14ac:dyDescent="0.3">
      <c r="A41" s="4" t="s">
        <v>842</v>
      </c>
      <c r="B41" s="4"/>
      <c r="C41" s="4"/>
      <c r="D41" s="4"/>
      <c r="E41" s="4"/>
      <c r="F41" s="4"/>
    </row>
    <row r="42" spans="1:6" ht="15" customHeight="1" x14ac:dyDescent="0.3">
      <c r="A42" s="4" t="s">
        <v>843</v>
      </c>
      <c r="B42" s="4"/>
      <c r="C42" s="4"/>
      <c r="D42" s="4"/>
      <c r="E42" s="4"/>
      <c r="F42" s="4"/>
    </row>
    <row r="43" spans="1:6" ht="15" customHeight="1" x14ac:dyDescent="0.3">
      <c r="A43" s="4" t="s">
        <v>844</v>
      </c>
      <c r="B43" s="4"/>
      <c r="C43" s="4"/>
      <c r="D43" s="4"/>
      <c r="E43" s="4"/>
      <c r="F43" s="4"/>
    </row>
    <row r="44" spans="1:6" ht="15" customHeight="1" x14ac:dyDescent="0.3">
      <c r="A44" s="4" t="s">
        <v>845</v>
      </c>
      <c r="B44" s="4"/>
      <c r="C44" s="4"/>
      <c r="D44" s="4"/>
      <c r="E44" s="4"/>
      <c r="F44" s="4"/>
    </row>
    <row r="45" spans="1:6" ht="15" customHeight="1" x14ac:dyDescent="0.3">
      <c r="A45" s="4" t="s">
        <v>846</v>
      </c>
      <c r="B45" s="4"/>
      <c r="C45" s="4"/>
      <c r="D45" s="4"/>
      <c r="E45" s="4"/>
      <c r="F45" s="4"/>
    </row>
    <row r="46" spans="1:6" ht="15" customHeight="1" x14ac:dyDescent="0.3">
      <c r="A46" s="4" t="s">
        <v>847</v>
      </c>
      <c r="B46" s="4"/>
      <c r="C46" s="4"/>
      <c r="D46" s="4"/>
      <c r="E46" s="4"/>
      <c r="F46" s="4"/>
    </row>
    <row r="47" spans="1:6" ht="15" customHeight="1" x14ac:dyDescent="0.3">
      <c r="A47" s="4" t="s">
        <v>848</v>
      </c>
      <c r="B47" s="4"/>
      <c r="C47" s="4"/>
      <c r="D47" s="4"/>
      <c r="E47" s="4"/>
      <c r="F47" s="4"/>
    </row>
    <row r="48" spans="1:6" ht="15" customHeight="1" x14ac:dyDescent="0.3">
      <c r="A48" s="4" t="s">
        <v>849</v>
      </c>
      <c r="B48" s="4"/>
      <c r="C48" s="4"/>
      <c r="D48" s="4"/>
      <c r="E48" s="4"/>
      <c r="F48" s="4"/>
    </row>
    <row r="49" spans="1:6" ht="15" customHeight="1" x14ac:dyDescent="0.3">
      <c r="A49" s="4" t="s">
        <v>850</v>
      </c>
      <c r="B49" s="4"/>
      <c r="C49" s="4"/>
      <c r="D49" s="4"/>
      <c r="E49" s="4"/>
      <c r="F49" s="4"/>
    </row>
    <row r="50" spans="1:6" ht="15" customHeight="1" x14ac:dyDescent="0.3">
      <c r="A50" s="4" t="s">
        <v>851</v>
      </c>
      <c r="B50" s="4"/>
      <c r="C50" s="4"/>
      <c r="D50" s="4"/>
      <c r="E50" s="4"/>
      <c r="F50" s="4"/>
    </row>
    <row r="51" spans="1:6" ht="15" customHeight="1" x14ac:dyDescent="0.3">
      <c r="A51" s="11"/>
      <c r="B51" s="11"/>
      <c r="C51" s="11"/>
      <c r="D51" s="11"/>
      <c r="E51" s="11"/>
      <c r="F51" s="11"/>
    </row>
    <row r="52" spans="1:6" ht="15" customHeight="1" x14ac:dyDescent="0.3">
      <c r="A52" s="18" t="s">
        <v>852</v>
      </c>
      <c r="B52" s="11"/>
      <c r="C52" s="11"/>
      <c r="D52" s="11"/>
      <c r="E52" s="11"/>
      <c r="F52" s="11"/>
    </row>
    <row r="53" spans="1:6" ht="15" customHeight="1" x14ac:dyDescent="0.3">
      <c r="A53" s="4" t="s">
        <v>853</v>
      </c>
      <c r="B53" s="4"/>
      <c r="C53" s="4"/>
      <c r="D53" s="4"/>
      <c r="E53" s="4"/>
      <c r="F53" s="4"/>
    </row>
    <row r="54" spans="1:6" ht="15" customHeight="1" x14ac:dyDescent="0.3">
      <c r="A54" s="4" t="s">
        <v>854</v>
      </c>
      <c r="B54" s="4"/>
      <c r="C54" s="4"/>
      <c r="D54" s="4"/>
      <c r="E54" s="4"/>
      <c r="F54" s="4"/>
    </row>
    <row r="55" spans="1:6" ht="15" customHeight="1" x14ac:dyDescent="0.3">
      <c r="A55" s="4" t="s">
        <v>855</v>
      </c>
      <c r="B55" s="4"/>
      <c r="C55" s="4"/>
      <c r="D55" s="4"/>
      <c r="E55" s="4"/>
      <c r="F55" s="4"/>
    </row>
    <row r="56" spans="1:6" ht="15" customHeight="1" x14ac:dyDescent="0.3">
      <c r="A56" s="4" t="s">
        <v>856</v>
      </c>
      <c r="B56" s="4"/>
      <c r="C56" s="4"/>
      <c r="D56" s="4"/>
      <c r="E56" s="4"/>
      <c r="F56" s="4"/>
    </row>
    <row r="57" spans="1:6" ht="15" customHeight="1" x14ac:dyDescent="0.3">
      <c r="A57" s="4" t="s">
        <v>857</v>
      </c>
      <c r="B57" s="4"/>
      <c r="C57" s="4"/>
      <c r="D57" s="4"/>
      <c r="E57" s="4"/>
      <c r="F57" s="4"/>
    </row>
    <row r="58" spans="1:6" ht="15" customHeight="1" x14ac:dyDescent="0.3">
      <c r="A58" s="4" t="s">
        <v>858</v>
      </c>
      <c r="B58" s="4"/>
      <c r="C58" s="4"/>
      <c r="D58" s="4"/>
      <c r="E58" s="4"/>
      <c r="F58" s="4"/>
    </row>
    <row r="59" spans="1:6" ht="15" customHeight="1" x14ac:dyDescent="0.3">
      <c r="A59" s="4" t="s">
        <v>859</v>
      </c>
      <c r="B59" s="4"/>
      <c r="C59" s="4"/>
      <c r="D59" s="4"/>
      <c r="E59" s="4"/>
      <c r="F59" s="4"/>
    </row>
    <row r="60" spans="1:6" ht="15" customHeight="1" x14ac:dyDescent="0.3">
      <c r="A60" s="4" t="s">
        <v>860</v>
      </c>
      <c r="B60" s="4"/>
      <c r="C60" s="4"/>
      <c r="D60" s="4"/>
      <c r="E60" s="4"/>
      <c r="F60" s="4"/>
    </row>
    <row r="61" spans="1:6" ht="15" customHeight="1" x14ac:dyDescent="0.3">
      <c r="A61" s="11"/>
      <c r="B61" s="11"/>
      <c r="C61" s="11"/>
      <c r="D61" s="11"/>
      <c r="E61" s="11"/>
      <c r="F61" s="11"/>
    </row>
    <row r="62" spans="1:6" ht="15" customHeight="1" x14ac:dyDescent="0.3">
      <c r="A62" s="18" t="s">
        <v>861</v>
      </c>
      <c r="B62" s="11"/>
      <c r="C62" s="11"/>
      <c r="D62" s="11"/>
      <c r="E62" s="11"/>
      <c r="F62" s="11"/>
    </row>
    <row r="63" spans="1:6" ht="30" customHeight="1" x14ac:dyDescent="0.3">
      <c r="A63" s="49" t="s">
        <v>862</v>
      </c>
      <c r="B63" s="3" t="s">
        <v>863</v>
      </c>
      <c r="C63" s="3"/>
      <c r="D63" s="3"/>
      <c r="E63" s="3"/>
      <c r="F63" s="3"/>
    </row>
    <row r="64" spans="1:6" ht="30" customHeight="1" x14ac:dyDescent="0.3">
      <c r="A64" s="49" t="s">
        <v>864</v>
      </c>
      <c r="B64" s="3" t="s">
        <v>865</v>
      </c>
      <c r="C64" s="3"/>
      <c r="D64" s="3"/>
      <c r="E64" s="3"/>
      <c r="F64" s="3"/>
    </row>
    <row r="65" spans="1:6" ht="30" customHeight="1" x14ac:dyDescent="0.3">
      <c r="A65" s="49" t="s">
        <v>866</v>
      </c>
      <c r="B65" s="3" t="s">
        <v>867</v>
      </c>
      <c r="C65" s="3"/>
      <c r="D65" s="3"/>
      <c r="E65" s="3"/>
      <c r="F65" s="3"/>
    </row>
    <row r="66" spans="1:6" ht="30" customHeight="1" x14ac:dyDescent="0.3">
      <c r="A66" s="49" t="s">
        <v>868</v>
      </c>
      <c r="B66" s="3" t="s">
        <v>869</v>
      </c>
      <c r="C66" s="3"/>
      <c r="D66" s="3"/>
      <c r="E66" s="3"/>
      <c r="F66" s="3"/>
    </row>
    <row r="67" spans="1:6" ht="30" customHeight="1" x14ac:dyDescent="0.3">
      <c r="A67" s="49" t="s">
        <v>870</v>
      </c>
      <c r="B67" s="3" t="s">
        <v>871</v>
      </c>
      <c r="C67" s="3"/>
      <c r="D67" s="3"/>
      <c r="E67" s="3"/>
      <c r="F67" s="3"/>
    </row>
    <row r="68" spans="1:6" ht="30" customHeight="1" x14ac:dyDescent="0.3">
      <c r="A68" s="49" t="s">
        <v>872</v>
      </c>
      <c r="B68" s="3" t="s">
        <v>873</v>
      </c>
      <c r="C68" s="3"/>
      <c r="D68" s="3"/>
      <c r="E68" s="3"/>
      <c r="F68" s="3"/>
    </row>
    <row r="69" spans="1:6" ht="15" customHeight="1" x14ac:dyDescent="0.3">
      <c r="A69" s="11"/>
      <c r="B69" s="11"/>
      <c r="C69" s="11"/>
      <c r="D69" s="11"/>
      <c r="E69" s="11"/>
      <c r="F69" s="11"/>
    </row>
    <row r="70" spans="1:6" ht="15" customHeight="1" x14ac:dyDescent="0.3">
      <c r="A70" s="11"/>
      <c r="B70" s="11"/>
      <c r="C70" s="11"/>
      <c r="D70" s="11"/>
      <c r="E70" s="11"/>
      <c r="F70" s="11"/>
    </row>
    <row r="71" spans="1:6" ht="15" customHeight="1" x14ac:dyDescent="0.3">
      <c r="A71" s="11"/>
      <c r="B71" s="11"/>
      <c r="C71" s="11"/>
      <c r="D71" s="11"/>
      <c r="E71" s="11"/>
      <c r="F71" s="11"/>
    </row>
    <row r="72" spans="1:6" ht="15" customHeight="1" x14ac:dyDescent="0.3">
      <c r="A72" s="11"/>
      <c r="B72" s="11"/>
      <c r="C72" s="11"/>
      <c r="D72" s="11"/>
      <c r="E72" s="11"/>
      <c r="F72" s="11"/>
    </row>
    <row r="73" spans="1:6" ht="15" customHeight="1" x14ac:dyDescent="0.3">
      <c r="A73" s="11"/>
      <c r="B73" s="11"/>
      <c r="C73" s="11"/>
      <c r="D73" s="11"/>
      <c r="E73" s="11"/>
      <c r="F73" s="11"/>
    </row>
    <row r="74" spans="1:6" ht="15" customHeight="1" x14ac:dyDescent="0.3">
      <c r="A74" s="11"/>
      <c r="B74" s="11"/>
      <c r="C74" s="11"/>
      <c r="D74" s="11"/>
      <c r="E74" s="11"/>
      <c r="F74" s="11"/>
    </row>
    <row r="75" spans="1:6" ht="15" customHeight="1" x14ac:dyDescent="0.3">
      <c r="A75" s="11"/>
      <c r="B75" s="11"/>
      <c r="C75" s="11"/>
      <c r="D75" s="11"/>
      <c r="E75" s="11"/>
      <c r="F75" s="11"/>
    </row>
    <row r="76" spans="1:6" ht="15" customHeight="1" x14ac:dyDescent="0.3">
      <c r="A76" s="11"/>
      <c r="B76" s="11"/>
      <c r="C76" s="11"/>
      <c r="D76" s="11"/>
      <c r="E76" s="11"/>
      <c r="F76" s="11"/>
    </row>
    <row r="77" spans="1:6" ht="15" customHeight="1" x14ac:dyDescent="0.3">
      <c r="A77" s="11"/>
      <c r="B77" s="11"/>
      <c r="C77" s="11"/>
      <c r="D77" s="11"/>
      <c r="E77" s="11"/>
      <c r="F77" s="11"/>
    </row>
    <row r="78" spans="1:6" ht="15" customHeight="1" x14ac:dyDescent="0.3">
      <c r="A78" s="11"/>
      <c r="B78" s="11"/>
      <c r="C78" s="11"/>
      <c r="D78" s="11"/>
      <c r="E78" s="11"/>
      <c r="F78" s="11"/>
    </row>
    <row r="79" spans="1:6" ht="15" customHeight="1" x14ac:dyDescent="0.3">
      <c r="A79" s="11"/>
      <c r="B79" s="11"/>
      <c r="C79" s="11"/>
      <c r="D79" s="11"/>
      <c r="E79" s="11"/>
      <c r="F79" s="11"/>
    </row>
    <row r="80" spans="1:6" ht="15" customHeight="1" x14ac:dyDescent="0.3">
      <c r="A80" s="11"/>
      <c r="B80" s="11"/>
      <c r="C80" s="11"/>
      <c r="D80" s="11"/>
      <c r="E80" s="11"/>
      <c r="F80" s="11"/>
    </row>
  </sheetData>
  <mergeCells count="30">
    <mergeCell ref="B64:F64"/>
    <mergeCell ref="B65:F65"/>
    <mergeCell ref="B66:F66"/>
    <mergeCell ref="B67:F67"/>
    <mergeCell ref="B68:F68"/>
    <mergeCell ref="A57:F57"/>
    <mergeCell ref="A58:F58"/>
    <mergeCell ref="A59:F59"/>
    <mergeCell ref="A60:F60"/>
    <mergeCell ref="B63:F63"/>
    <mergeCell ref="A50:F50"/>
    <mergeCell ref="A53:F53"/>
    <mergeCell ref="A54:F54"/>
    <mergeCell ref="A55:F55"/>
    <mergeCell ref="A56:F56"/>
    <mergeCell ref="A45:F45"/>
    <mergeCell ref="A46:F46"/>
    <mergeCell ref="A47:F47"/>
    <mergeCell ref="A48:F48"/>
    <mergeCell ref="A49:F49"/>
    <mergeCell ref="A11:F11"/>
    <mergeCell ref="A41:F41"/>
    <mergeCell ref="A42:F42"/>
    <mergeCell ref="A43:F43"/>
    <mergeCell ref="A44:F44"/>
    <mergeCell ref="A4:F4"/>
    <mergeCell ref="A5:F5"/>
    <mergeCell ref="A7:F7"/>
    <mergeCell ref="A8:F8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855F7"/>
  </sheetPr>
  <dimension ref="A1:AB140"/>
  <sheetViews>
    <sheetView zoomScaleNormal="100" workbookViewId="0">
      <pane ySplit="41" topLeftCell="A4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5" width="10" customWidth="1"/>
    <col min="6" max="6" width="9" customWidth="1"/>
    <col min="7" max="7" width="7" customWidth="1"/>
    <col min="8" max="8" width="16" customWidth="1"/>
    <col min="9" max="9" width="18" customWidth="1"/>
    <col min="10" max="10" width="6" customWidth="1"/>
    <col min="11" max="12" width="7" customWidth="1"/>
    <col min="13" max="13" width="18" customWidth="1"/>
    <col min="14" max="14" width="8" customWidth="1"/>
    <col min="15" max="15" width="6" customWidth="1"/>
    <col min="16" max="17" width="7" customWidth="1"/>
    <col min="18" max="18" width="16" customWidth="1"/>
    <col min="19" max="19" width="7" customWidth="1"/>
    <col min="20" max="21" width="8" customWidth="1"/>
    <col min="22" max="25" width="6" customWidth="1"/>
    <col min="26" max="26" width="7" customWidth="1"/>
    <col min="27" max="27" width="14" customWidth="1"/>
    <col min="28" max="28" width="16" customWidth="1"/>
  </cols>
  <sheetData>
    <row r="1" spans="1:28" ht="17.25" customHeight="1" x14ac:dyDescent="0.3">
      <c r="A1" s="9" t="s">
        <v>874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1"/>
      <c r="X1" s="11"/>
      <c r="Y1" s="11"/>
      <c r="Z1" s="11"/>
      <c r="AA1" s="11"/>
      <c r="AB1" s="11"/>
    </row>
    <row r="2" spans="1:28" ht="15" customHeight="1" x14ac:dyDescent="0.3">
      <c r="A2" s="8" t="s">
        <v>875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11"/>
      <c r="X2" s="11"/>
      <c r="Y2" s="11"/>
      <c r="Z2" s="11"/>
      <c r="AA2" s="11"/>
      <c r="AB2" s="11"/>
    </row>
    <row r="3" spans="1:28" ht="1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5" customHeight="1" x14ac:dyDescent="0.3">
      <c r="A4" s="69" t="s">
        <v>876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5" customHeight="1" x14ac:dyDescent="0.3">
      <c r="A5" s="46" t="s">
        <v>877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5" customHeight="1" x14ac:dyDescent="0.3">
      <c r="A6" s="19" t="s">
        <v>878</v>
      </c>
      <c r="B6" s="28">
        <v>20</v>
      </c>
      <c r="C6" s="36" t="s">
        <v>458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5" customHeight="1" x14ac:dyDescent="0.3">
      <c r="A7" s="19" t="s">
        <v>879</v>
      </c>
      <c r="B7" s="81">
        <v>2</v>
      </c>
      <c r="C7" s="36" t="s">
        <v>460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" customHeight="1" x14ac:dyDescent="0.3">
      <c r="A8" s="19" t="s">
        <v>880</v>
      </c>
      <c r="B8" s="23">
        <v>0.04</v>
      </c>
      <c r="C8" s="36" t="s">
        <v>462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5" customHeight="1" x14ac:dyDescent="0.3">
      <c r="A9" s="19" t="s">
        <v>881</v>
      </c>
      <c r="B9" s="23">
        <v>0.02</v>
      </c>
      <c r="C9" s="36" t="s">
        <v>464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5" customHeight="1" x14ac:dyDescent="0.3">
      <c r="A11" s="46" t="s">
        <v>882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5" customHeight="1" x14ac:dyDescent="0.3">
      <c r="A12" s="19" t="s">
        <v>883</v>
      </c>
      <c r="B12" s="82">
        <v>1.6180000000000001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5" customHeight="1" x14ac:dyDescent="0.3">
      <c r="A13" s="19" t="s">
        <v>884</v>
      </c>
      <c r="B13" s="82">
        <v>2.6179999999999999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5" customHeight="1" x14ac:dyDescent="0.3">
      <c r="A14" s="19" t="s">
        <v>885</v>
      </c>
      <c r="B14" s="23">
        <v>0.61799999999999999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5" customHeight="1" x14ac:dyDescent="0.3">
      <c r="A15" s="19" t="s">
        <v>886</v>
      </c>
      <c r="B15" s="23">
        <v>0.38200000000000001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5" customHeight="1" x14ac:dyDescent="0.3">
      <c r="A16" s="19" t="s">
        <v>887</v>
      </c>
      <c r="B16" s="23">
        <v>0.6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5" customHeight="1" x14ac:dyDescent="0.3">
      <c r="A18" s="46" t="s">
        <v>888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5" customHeight="1" x14ac:dyDescent="0.3">
      <c r="A19" s="19" t="s">
        <v>889</v>
      </c>
      <c r="B19" s="83">
        <v>45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5" customHeight="1" x14ac:dyDescent="0.3">
      <c r="A20" s="19" t="s">
        <v>890</v>
      </c>
      <c r="B20" s="84">
        <v>63.43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5" customHeight="1" x14ac:dyDescent="0.3">
      <c r="A21" s="19" t="s">
        <v>891</v>
      </c>
      <c r="B21" s="84">
        <v>26.57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5" customHeight="1" x14ac:dyDescent="0.3">
      <c r="A22" s="19" t="s">
        <v>892</v>
      </c>
      <c r="B22" s="23">
        <v>0.1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5" customHeight="1" x14ac:dyDescent="0.3">
      <c r="A23" s="19" t="s">
        <v>893</v>
      </c>
      <c r="B23" s="28">
        <v>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5" customHeight="1" x14ac:dyDescent="0.3">
      <c r="A25" s="46" t="s">
        <v>894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5" customHeight="1" x14ac:dyDescent="0.3">
      <c r="A26" s="19" t="s">
        <v>895</v>
      </c>
      <c r="B26" s="29">
        <v>0.35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5" customHeight="1" x14ac:dyDescent="0.3">
      <c r="A27" s="19" t="s">
        <v>896</v>
      </c>
      <c r="B27" s="29">
        <v>0.35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5" customHeight="1" x14ac:dyDescent="0.3">
      <c r="A28" s="19" t="s">
        <v>897</v>
      </c>
      <c r="B28" s="29">
        <v>0.15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5" customHeight="1" x14ac:dyDescent="0.3">
      <c r="A29" s="19" t="s">
        <v>898</v>
      </c>
      <c r="B29" s="29">
        <v>0.15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5" customHeight="1" x14ac:dyDescent="0.3">
      <c r="A30" s="19" t="s">
        <v>68</v>
      </c>
      <c r="B30" s="30">
        <f>SUM(B26:B29)</f>
        <v>1</v>
      </c>
      <c r="C30" s="21" t="s">
        <v>69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5" customHeight="1" x14ac:dyDescent="0.3">
      <c r="A32" s="46" t="s">
        <v>899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15" customHeight="1" x14ac:dyDescent="0.3">
      <c r="A33" s="19" t="s">
        <v>900</v>
      </c>
      <c r="B33" s="28">
        <v>75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5" customHeight="1" x14ac:dyDescent="0.3">
      <c r="A34" s="19" t="s">
        <v>901</v>
      </c>
      <c r="B34" s="28">
        <v>60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5" customHeight="1" x14ac:dyDescent="0.3">
      <c r="A35" s="19" t="s">
        <v>902</v>
      </c>
      <c r="B35" s="28">
        <v>35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5" customHeight="1" x14ac:dyDescent="0.3">
      <c r="A36" s="19" t="s">
        <v>903</v>
      </c>
      <c r="B36" s="28">
        <v>20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5" customHeight="1" x14ac:dyDescent="0.3">
      <c r="A37" s="19" t="s">
        <v>904</v>
      </c>
      <c r="B37" s="13" t="s">
        <v>905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5" customHeight="1" x14ac:dyDescent="0.3">
      <c r="A38" s="19" t="s">
        <v>906</v>
      </c>
      <c r="B38" s="28">
        <v>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5" customHeight="1" x14ac:dyDescent="0.3">
      <c r="A40" s="69" t="s">
        <v>907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5" customHeight="1" x14ac:dyDescent="0.3">
      <c r="A41" s="32" t="s">
        <v>72</v>
      </c>
      <c r="B41" s="32" t="s">
        <v>75</v>
      </c>
      <c r="C41" s="32" t="s">
        <v>908</v>
      </c>
      <c r="D41" s="32" t="s">
        <v>909</v>
      </c>
      <c r="E41" s="32" t="s">
        <v>910</v>
      </c>
      <c r="F41" s="32" t="s">
        <v>911</v>
      </c>
      <c r="G41" s="32" t="s">
        <v>912</v>
      </c>
      <c r="H41" s="32" t="s">
        <v>913</v>
      </c>
      <c r="I41" s="32" t="s">
        <v>914</v>
      </c>
      <c r="J41" s="32" t="s">
        <v>915</v>
      </c>
      <c r="K41" s="32" t="s">
        <v>916</v>
      </c>
      <c r="L41" s="32" t="s">
        <v>917</v>
      </c>
      <c r="M41" s="32" t="s">
        <v>918</v>
      </c>
      <c r="N41" s="32" t="s">
        <v>919</v>
      </c>
      <c r="O41" s="32" t="s">
        <v>920</v>
      </c>
      <c r="P41" s="32" t="s">
        <v>921</v>
      </c>
      <c r="Q41" s="32" t="s">
        <v>922</v>
      </c>
      <c r="R41" s="32" t="s">
        <v>923</v>
      </c>
      <c r="S41" s="32" t="s">
        <v>924</v>
      </c>
      <c r="T41" s="32" t="s">
        <v>925</v>
      </c>
      <c r="U41" s="32" t="s">
        <v>926</v>
      </c>
      <c r="V41" s="32" t="s">
        <v>927</v>
      </c>
      <c r="W41" s="32" t="s">
        <v>928</v>
      </c>
      <c r="X41" s="32" t="s">
        <v>929</v>
      </c>
      <c r="Y41" s="32" t="s">
        <v>930</v>
      </c>
      <c r="Z41" s="32" t="s">
        <v>931</v>
      </c>
      <c r="AA41" s="32" t="s">
        <v>932</v>
      </c>
      <c r="AB41" s="32" t="s">
        <v>408</v>
      </c>
    </row>
    <row r="42" spans="1:28" ht="15" customHeight="1" x14ac:dyDescent="0.3">
      <c r="A42" s="64" t="str">
        <f>'Data Input'!A56</f>
        <v>SPY</v>
      </c>
      <c r="B42" s="85" t="str">
        <f ca="1">'Data Input'!D56</f>
        <v/>
      </c>
      <c r="C42" s="86" t="str">
        <f ca="1">IFERROR(IF(B42="","",B42/(1+'Data Input'!M56)),"")</f>
        <v/>
      </c>
      <c r="D42" s="86" t="str">
        <f ca="1">IFERROR(IF(C42="","",C42+$B$7*C42*('Data Input'!H56/SQRT(252)*SQRT($B$6))),"")</f>
        <v/>
      </c>
      <c r="E42" s="86" t="str">
        <f ca="1">IFERROR(IF(C42="","",C42-$B$7*C42*('Data Input'!H56/SQRT(252)*SQRT($B$6))),"")</f>
        <v/>
      </c>
      <c r="F42" s="27" t="str">
        <f t="shared" ref="F42:F65" ca="1" si="0">IFERROR(IF(C42="","",(D42-E42)/C42),"")</f>
        <v/>
      </c>
      <c r="G42" s="42">
        <f t="shared" ref="G42:G65" ca="1" si="1">IFERROR(IF(D42=E42,0.5,(B42-E42)/(D42-E42)),0.5)</f>
        <v>0.5</v>
      </c>
      <c r="H42" s="17" t="str">
        <f t="shared" ref="H42:H65" ca="1" si="2">IF(G42="","",IF(AND(G42&lt;0.05,F42&lt;$B$8),"SQUEEZE BUY",IF(G42&lt;0.1,"OVERSOLD BUY",IF(G42&gt;0.95,"OVERBOUGHT SELL",IF(AND(G42&gt;0.5,G42&lt;0.8),"TREND HOLD","NEUTRAL")))))</f>
        <v>NEUTRAL</v>
      </c>
      <c r="I42" s="17" t="str">
        <f ca="1">IFERROR(IF(OR('Data Input'!P56="",'Data Input'!N56=""),"N/A",IF(AND('Data Input'!P56&gt;0,'Data Input'!N56&gt;0,'Data Input'!M56&gt;0),"IMPULSE (W3/5)",IF(AND('Data Input'!P56&gt;0,'Data Input'!N56&lt;0),"CORRECTIVE (W4)",IF(AND('Data Input'!P56&lt;0,'Data Input'!M56&gt;0),"WAVE 1 START",IF(AND('Data Input'!P56&lt;0,'Data Input'!M56&lt;0),"DECLINE (WC)","TRANSITION"))))),"N/A")</f>
        <v>N/A</v>
      </c>
      <c r="J42" s="17" t="str">
        <f ca="1">IF(I42="IMPULSE (W3/5)",IF('Data Input'!M56&gt;0.03,"W5","W3"),IF(I42="CORRECTIVE (W4)","W4",IF(I42="WAVE 1 START","W1",IF(I42="DECLINE (WC)","WC","—"))))</f>
        <v>—</v>
      </c>
      <c r="K42" s="17" t="str">
        <f ca="1">IFERROR(IF(OR('Data Input'!M56="",'Data Input'!N56=""),"",IF((IF('Data Input'!M56&gt;0,1,0)+IF('Data Input'!N56&gt;0,1,0)+IF('Data Input'!O56&gt;0,1,0)+IF('Data Input'!P56&gt;0,1,0))&gt;=3,"YES","NO")),"")</f>
        <v/>
      </c>
      <c r="L42" s="87" t="str">
        <f ca="1">IFERROR(IF(OR('Data Input'!P56="",'Data Input'!N56=""),"",ABS('Data Input'!N56/IF('Data Input'!P56=0,0.001,'Data Input'!P56))),"")</f>
        <v/>
      </c>
      <c r="M42" s="17" t="str">
        <f t="shared" ref="M42:M65" ca="1" si="3">IF(I42="N/A","",IF(AND(I42="WAVE 1 START",K42="YES"),"EARLY BUY",IF(AND(LEFT(I42,7)="IMPULSE",K42="YES"),"TREND BUY",IF(I42="CORRECTIVE (W4)","WAIT/ACCUMULATE",IF(I42="DECLINE (WC)","SELL/HEDGE","HOLD")))))</f>
        <v/>
      </c>
      <c r="N42" s="88" t="str">
        <f ca="1">IFERROR(IF('Data Input'!M56="","",DEGREES(ATAN('Data Input'!M56*12/$B$22))),"")</f>
        <v/>
      </c>
      <c r="O42" s="17" t="str">
        <f t="shared" ref="O42:O65" ca="1" si="4">IF(N42="","",IF(N42&gt;=$B$19,"YES","NO"))</f>
        <v/>
      </c>
      <c r="P42" s="42" t="str">
        <f ca="1">IFERROR(IF('Data Input'!P56="","",ABS('Data Input'!P56)*12),"")</f>
        <v/>
      </c>
      <c r="Q42" s="87" t="str">
        <f t="shared" ref="Q42:Q65" ca="1" si="5">IFERROR(IF(B42="","",MOD(SQRT(B42)*$B$23,1)),"")</f>
        <v/>
      </c>
      <c r="R42" s="17" t="str">
        <f t="shared" ref="R42:R65" ca="1" si="6">IF(N42="","",IF(AND(O42="YES",N42&gt;50),"STRONG UPTREND",IF(AND(O42="YES",N42&gt;$B$19),"UPTREND",IF(AND(O42="NO",N42&lt;-$B$19),"DOWNTREND",IF(Q42&lt;0.1,"NEAR SUPPORT","NEUTRAL")))))</f>
        <v/>
      </c>
      <c r="S42" s="48">
        <f ca="1">IFERROR(IF('Data Input'!M56="",50,MIN(100,MAX(0,50+'Data Input'!M56*500))),50)</f>
        <v>50</v>
      </c>
      <c r="T42" s="27">
        <f ca="1">IFERROR(IF(OR('Data Input'!M56="",'Data Input'!N56=""),0,'Data Input'!M56-'Data Input'!N56),0)</f>
        <v>0</v>
      </c>
      <c r="U42" s="17" t="str">
        <f ca="1">IFERROR(IF('Data Input'!J56="","LOW",IF(ABS('Data Input'!J56)&gt;1.2,"HIGH",IF(ABS('Data Input'!J56)&gt;0.8,"MEDIUM","LOW"))),"LOW")</f>
        <v>LOW</v>
      </c>
      <c r="V42" s="43">
        <f t="shared" ref="V42:V65" ca="1" si="7">IFERROR(IF(G42="",50,IF(H42="SQUEEZE BUY",85,IF(H42="OVERSOLD BUY",80,IF(H42="OVERBOUGHT SELL",15,IF(H42="TREND HOLD",65,50))))),50)</f>
        <v>50</v>
      </c>
      <c r="W42" s="43">
        <f t="shared" ref="W42:W65" ca="1" si="8">IF(M42="",50,IF(M42="EARLY BUY",90,IF(M42="TREND BUY",80,IF(M42="WAIT/ACCUMULATE",55,IF(M42="SELL/HEDGE",15,IF(M42="HOLD",50,50))))))</f>
        <v>50</v>
      </c>
      <c r="X42" s="43">
        <f t="shared" ref="X42:X65" ca="1" si="9">IF(R42="",50,IF(R42="STRONG UPTREND",90,IF(R42="UPTREND",75,IF(R42="NEAR SUPPORT",60,IF(R42="DOWNTREND",15,45)))))</f>
        <v>50</v>
      </c>
      <c r="Y42" s="43">
        <f t="shared" ref="Y42:Y65" ca="1" si="10">IFERROR(ROUND(S42*0.6+IF(T42&gt;0,70,30)*0.4,0),50)</f>
        <v>42</v>
      </c>
      <c r="Z42" s="43">
        <f t="shared" ref="Z42:Z65" ca="1" si="11">ROUND(V42*$B$26+W42*$B$27+X42*$B$28+Y42*$B$29,0)</f>
        <v>49</v>
      </c>
      <c r="AA42" s="17" t="str">
        <f t="shared" ref="AA42:AA65" ca="1" si="12">IF(Z42&gt;=$B$33,"STRONG BUY",IF(Z42&gt;=$B$34,"BUY",IF(Z42&lt;=$B$36,"STRONG SELL",IF(Z42&lt;=$B$35,"SELL","HOLD"))))</f>
        <v>HOLD</v>
      </c>
      <c r="AB42" s="17" t="str">
        <f t="shared" ref="AB42:AB65" ca="1" si="13">IF(OR(AA42="STRONG BUY",AA42="STRONG SELL"),"P1 — IMMEDIATE",IF(OR(AA42="BUY",AA42="SELL"),"P2 — THIS WEEK","P3 — MONITOR"))</f>
        <v>P3 — MONITOR</v>
      </c>
    </row>
    <row r="43" spans="1:28" ht="15" customHeight="1" x14ac:dyDescent="0.3">
      <c r="A43" s="64" t="str">
        <f>'Data Input'!A57</f>
        <v>QQQ</v>
      </c>
      <c r="B43" s="85" t="str">
        <f ca="1">'Data Input'!D57</f>
        <v/>
      </c>
      <c r="C43" s="86" t="str">
        <f ca="1">IFERROR(IF(B43="","",B43/(1+'Data Input'!M57)),"")</f>
        <v/>
      </c>
      <c r="D43" s="86" t="str">
        <f ca="1">IFERROR(IF(C43="","",C43+$B$7*C43*('Data Input'!H57/SQRT(252)*SQRT($B$6))),"")</f>
        <v/>
      </c>
      <c r="E43" s="86" t="str">
        <f ca="1">IFERROR(IF(C43="","",C43-$B$7*C43*('Data Input'!H57/SQRT(252)*SQRT($B$6))),"")</f>
        <v/>
      </c>
      <c r="F43" s="27" t="str">
        <f t="shared" ca="1" si="0"/>
        <v/>
      </c>
      <c r="G43" s="42">
        <f t="shared" ca="1" si="1"/>
        <v>0.5</v>
      </c>
      <c r="H43" s="17" t="str">
        <f t="shared" ca="1" si="2"/>
        <v>NEUTRAL</v>
      </c>
      <c r="I43" s="17" t="str">
        <f ca="1">IFERROR(IF(OR('Data Input'!P57="",'Data Input'!N57=""),"N/A",IF(AND('Data Input'!P57&gt;0,'Data Input'!N57&gt;0,'Data Input'!M57&gt;0),"IMPULSE (W3/5)",IF(AND('Data Input'!P57&gt;0,'Data Input'!N57&lt;0),"CORRECTIVE (W4)",IF(AND('Data Input'!P57&lt;0,'Data Input'!M57&gt;0),"WAVE 1 START",IF(AND('Data Input'!P57&lt;0,'Data Input'!M57&lt;0),"DECLINE (WC)","TRANSITION"))))),"N/A")</f>
        <v>N/A</v>
      </c>
      <c r="J43" s="17" t="str">
        <f ca="1">IF(I43="IMPULSE (W3/5)",IF('Data Input'!M57&gt;0.03,"W5","W3"),IF(I43="CORRECTIVE (W4)","W4",IF(I43="WAVE 1 START","W1",IF(I43="DECLINE (WC)","WC","—"))))</f>
        <v>—</v>
      </c>
      <c r="K43" s="17" t="str">
        <f ca="1">IFERROR(IF(OR('Data Input'!M57="",'Data Input'!N57=""),"",IF((IF('Data Input'!M57&gt;0,1,0)+IF('Data Input'!N57&gt;0,1,0)+IF('Data Input'!O57&gt;0,1,0)+IF('Data Input'!P57&gt;0,1,0))&gt;=3,"YES","NO")),"")</f>
        <v/>
      </c>
      <c r="L43" s="87" t="str">
        <f ca="1">IFERROR(IF(OR('Data Input'!P57="",'Data Input'!N57=""),"",ABS('Data Input'!N57/IF('Data Input'!P57=0,0.001,'Data Input'!P57))),"")</f>
        <v/>
      </c>
      <c r="M43" s="17" t="str">
        <f t="shared" ca="1" si="3"/>
        <v/>
      </c>
      <c r="N43" s="88" t="str">
        <f ca="1">IFERROR(IF('Data Input'!M57="","",DEGREES(ATAN('Data Input'!M57*12/$B$22))),"")</f>
        <v/>
      </c>
      <c r="O43" s="17" t="str">
        <f t="shared" ca="1" si="4"/>
        <v/>
      </c>
      <c r="P43" s="42" t="str">
        <f ca="1">IFERROR(IF('Data Input'!P57="","",ABS('Data Input'!P57)*12),"")</f>
        <v/>
      </c>
      <c r="Q43" s="87" t="str">
        <f t="shared" ca="1" si="5"/>
        <v/>
      </c>
      <c r="R43" s="17" t="str">
        <f t="shared" ca="1" si="6"/>
        <v/>
      </c>
      <c r="S43" s="48">
        <f ca="1">IFERROR(IF('Data Input'!M57="",50,MIN(100,MAX(0,50+'Data Input'!M57*500))),50)</f>
        <v>50</v>
      </c>
      <c r="T43" s="27">
        <f ca="1">IFERROR(IF(OR('Data Input'!M57="",'Data Input'!N57=""),0,'Data Input'!M57-'Data Input'!N57),0)</f>
        <v>0</v>
      </c>
      <c r="U43" s="17" t="str">
        <f ca="1">IFERROR(IF('Data Input'!J57="","LOW",IF(ABS('Data Input'!J57)&gt;1.2,"HIGH",IF(ABS('Data Input'!J57)&gt;0.8,"MEDIUM","LOW"))),"LOW")</f>
        <v>LOW</v>
      </c>
      <c r="V43" s="43">
        <f t="shared" ca="1" si="7"/>
        <v>50</v>
      </c>
      <c r="W43" s="43">
        <f t="shared" ca="1" si="8"/>
        <v>50</v>
      </c>
      <c r="X43" s="43">
        <f t="shared" ca="1" si="9"/>
        <v>50</v>
      </c>
      <c r="Y43" s="43">
        <f t="shared" ca="1" si="10"/>
        <v>42</v>
      </c>
      <c r="Z43" s="43">
        <f t="shared" ca="1" si="11"/>
        <v>49</v>
      </c>
      <c r="AA43" s="17" t="str">
        <f t="shared" ca="1" si="12"/>
        <v>HOLD</v>
      </c>
      <c r="AB43" s="17" t="str">
        <f t="shared" ca="1" si="13"/>
        <v>P3 — MONITOR</v>
      </c>
    </row>
    <row r="44" spans="1:28" ht="15" customHeight="1" x14ac:dyDescent="0.3">
      <c r="A44" s="64" t="str">
        <f>'Data Input'!A58</f>
        <v>IWM</v>
      </c>
      <c r="B44" s="85" t="str">
        <f ca="1">'Data Input'!D58</f>
        <v/>
      </c>
      <c r="C44" s="86" t="str">
        <f ca="1">IFERROR(IF(B44="","",B44/(1+'Data Input'!M58)),"")</f>
        <v/>
      </c>
      <c r="D44" s="86" t="str">
        <f ca="1">IFERROR(IF(C44="","",C44+$B$7*C44*('Data Input'!H58/SQRT(252)*SQRT($B$6))),"")</f>
        <v/>
      </c>
      <c r="E44" s="86" t="str">
        <f ca="1">IFERROR(IF(C44="","",C44-$B$7*C44*('Data Input'!H58/SQRT(252)*SQRT($B$6))),"")</f>
        <v/>
      </c>
      <c r="F44" s="27" t="str">
        <f t="shared" ca="1" si="0"/>
        <v/>
      </c>
      <c r="G44" s="42">
        <f t="shared" ca="1" si="1"/>
        <v>0.5</v>
      </c>
      <c r="H44" s="17" t="str">
        <f t="shared" ca="1" si="2"/>
        <v>NEUTRAL</v>
      </c>
      <c r="I44" s="17" t="str">
        <f ca="1">IFERROR(IF(OR('Data Input'!P58="",'Data Input'!N58=""),"N/A",IF(AND('Data Input'!P58&gt;0,'Data Input'!N58&gt;0,'Data Input'!M58&gt;0),"IMPULSE (W3/5)",IF(AND('Data Input'!P58&gt;0,'Data Input'!N58&lt;0),"CORRECTIVE (W4)",IF(AND('Data Input'!P58&lt;0,'Data Input'!M58&gt;0),"WAVE 1 START",IF(AND('Data Input'!P58&lt;0,'Data Input'!M58&lt;0),"DECLINE (WC)","TRANSITION"))))),"N/A")</f>
        <v>N/A</v>
      </c>
      <c r="J44" s="17" t="str">
        <f ca="1">IF(I44="IMPULSE (W3/5)",IF('Data Input'!M58&gt;0.03,"W5","W3"),IF(I44="CORRECTIVE (W4)","W4",IF(I44="WAVE 1 START","W1",IF(I44="DECLINE (WC)","WC","—"))))</f>
        <v>—</v>
      </c>
      <c r="K44" s="17" t="str">
        <f ca="1">IFERROR(IF(OR('Data Input'!M58="",'Data Input'!N58=""),"",IF((IF('Data Input'!M58&gt;0,1,0)+IF('Data Input'!N58&gt;0,1,0)+IF('Data Input'!O58&gt;0,1,0)+IF('Data Input'!P58&gt;0,1,0))&gt;=3,"YES","NO")),"")</f>
        <v/>
      </c>
      <c r="L44" s="87" t="str">
        <f ca="1">IFERROR(IF(OR('Data Input'!P58="",'Data Input'!N58=""),"",ABS('Data Input'!N58/IF('Data Input'!P58=0,0.001,'Data Input'!P58))),"")</f>
        <v/>
      </c>
      <c r="M44" s="17" t="str">
        <f t="shared" ca="1" si="3"/>
        <v/>
      </c>
      <c r="N44" s="88" t="str">
        <f ca="1">IFERROR(IF('Data Input'!M58="","",DEGREES(ATAN('Data Input'!M58*12/$B$22))),"")</f>
        <v/>
      </c>
      <c r="O44" s="17" t="str">
        <f t="shared" ca="1" si="4"/>
        <v/>
      </c>
      <c r="P44" s="42" t="str">
        <f ca="1">IFERROR(IF('Data Input'!P58="","",ABS('Data Input'!P58)*12),"")</f>
        <v/>
      </c>
      <c r="Q44" s="87" t="str">
        <f t="shared" ca="1" si="5"/>
        <v/>
      </c>
      <c r="R44" s="17" t="str">
        <f t="shared" ca="1" si="6"/>
        <v/>
      </c>
      <c r="S44" s="48">
        <f ca="1">IFERROR(IF('Data Input'!M58="",50,MIN(100,MAX(0,50+'Data Input'!M58*500))),50)</f>
        <v>50</v>
      </c>
      <c r="T44" s="27">
        <f ca="1">IFERROR(IF(OR('Data Input'!M58="",'Data Input'!N58=""),0,'Data Input'!M58-'Data Input'!N58),0)</f>
        <v>0</v>
      </c>
      <c r="U44" s="17" t="str">
        <f ca="1">IFERROR(IF('Data Input'!J58="","LOW",IF(ABS('Data Input'!J58)&gt;1.2,"HIGH",IF(ABS('Data Input'!J58)&gt;0.8,"MEDIUM","LOW"))),"LOW")</f>
        <v>LOW</v>
      </c>
      <c r="V44" s="43">
        <f t="shared" ca="1" si="7"/>
        <v>50</v>
      </c>
      <c r="W44" s="43">
        <f t="shared" ca="1" si="8"/>
        <v>50</v>
      </c>
      <c r="X44" s="43">
        <f t="shared" ca="1" si="9"/>
        <v>50</v>
      </c>
      <c r="Y44" s="43">
        <f t="shared" ca="1" si="10"/>
        <v>42</v>
      </c>
      <c r="Z44" s="43">
        <f t="shared" ca="1" si="11"/>
        <v>49</v>
      </c>
      <c r="AA44" s="17" t="str">
        <f t="shared" ca="1" si="12"/>
        <v>HOLD</v>
      </c>
      <c r="AB44" s="17" t="str">
        <f t="shared" ca="1" si="13"/>
        <v>P3 — MONITOR</v>
      </c>
    </row>
    <row r="45" spans="1:28" ht="15" customHeight="1" x14ac:dyDescent="0.3">
      <c r="A45" s="64" t="str">
        <f>'Data Input'!A59</f>
        <v>EFA</v>
      </c>
      <c r="B45" s="85" t="str">
        <f ca="1">'Data Input'!D59</f>
        <v/>
      </c>
      <c r="C45" s="86" t="str">
        <f ca="1">IFERROR(IF(B45="","",B45/(1+'Data Input'!M59)),"")</f>
        <v/>
      </c>
      <c r="D45" s="86" t="str">
        <f ca="1">IFERROR(IF(C45="","",C45+$B$7*C45*('Data Input'!H59/SQRT(252)*SQRT($B$6))),"")</f>
        <v/>
      </c>
      <c r="E45" s="86" t="str">
        <f ca="1">IFERROR(IF(C45="","",C45-$B$7*C45*('Data Input'!H59/SQRT(252)*SQRT($B$6))),"")</f>
        <v/>
      </c>
      <c r="F45" s="27" t="str">
        <f t="shared" ca="1" si="0"/>
        <v/>
      </c>
      <c r="G45" s="42">
        <f t="shared" ca="1" si="1"/>
        <v>0.5</v>
      </c>
      <c r="H45" s="17" t="str">
        <f t="shared" ca="1" si="2"/>
        <v>NEUTRAL</v>
      </c>
      <c r="I45" s="17" t="str">
        <f ca="1">IFERROR(IF(OR('Data Input'!P59="",'Data Input'!N59=""),"N/A",IF(AND('Data Input'!P59&gt;0,'Data Input'!N59&gt;0,'Data Input'!M59&gt;0),"IMPULSE (W3/5)",IF(AND('Data Input'!P59&gt;0,'Data Input'!N59&lt;0),"CORRECTIVE (W4)",IF(AND('Data Input'!P59&lt;0,'Data Input'!M59&gt;0),"WAVE 1 START",IF(AND('Data Input'!P59&lt;0,'Data Input'!M59&lt;0),"DECLINE (WC)","TRANSITION"))))),"N/A")</f>
        <v>N/A</v>
      </c>
      <c r="J45" s="17" t="str">
        <f ca="1">IF(I45="IMPULSE (W3/5)",IF('Data Input'!M59&gt;0.03,"W5","W3"),IF(I45="CORRECTIVE (W4)","W4",IF(I45="WAVE 1 START","W1",IF(I45="DECLINE (WC)","WC","—"))))</f>
        <v>—</v>
      </c>
      <c r="K45" s="17" t="str">
        <f ca="1">IFERROR(IF(OR('Data Input'!M59="",'Data Input'!N59=""),"",IF((IF('Data Input'!M59&gt;0,1,0)+IF('Data Input'!N59&gt;0,1,0)+IF('Data Input'!O59&gt;0,1,0)+IF('Data Input'!P59&gt;0,1,0))&gt;=3,"YES","NO")),"")</f>
        <v/>
      </c>
      <c r="L45" s="87" t="str">
        <f ca="1">IFERROR(IF(OR('Data Input'!P59="",'Data Input'!N59=""),"",ABS('Data Input'!N59/IF('Data Input'!P59=0,0.001,'Data Input'!P59))),"")</f>
        <v/>
      </c>
      <c r="M45" s="17" t="str">
        <f t="shared" ca="1" si="3"/>
        <v/>
      </c>
      <c r="N45" s="88" t="str">
        <f ca="1">IFERROR(IF('Data Input'!M59="","",DEGREES(ATAN('Data Input'!M59*12/$B$22))),"")</f>
        <v/>
      </c>
      <c r="O45" s="17" t="str">
        <f t="shared" ca="1" si="4"/>
        <v/>
      </c>
      <c r="P45" s="42" t="str">
        <f ca="1">IFERROR(IF('Data Input'!P59="","",ABS('Data Input'!P59)*12),"")</f>
        <v/>
      </c>
      <c r="Q45" s="87" t="str">
        <f t="shared" ca="1" si="5"/>
        <v/>
      </c>
      <c r="R45" s="17" t="str">
        <f t="shared" ca="1" si="6"/>
        <v/>
      </c>
      <c r="S45" s="48">
        <f ca="1">IFERROR(IF('Data Input'!M59="",50,MIN(100,MAX(0,50+'Data Input'!M59*500))),50)</f>
        <v>50</v>
      </c>
      <c r="T45" s="27">
        <f ca="1">IFERROR(IF(OR('Data Input'!M59="",'Data Input'!N59=""),0,'Data Input'!M59-'Data Input'!N59),0)</f>
        <v>0</v>
      </c>
      <c r="U45" s="17" t="str">
        <f ca="1">IFERROR(IF('Data Input'!J59="","LOW",IF(ABS('Data Input'!J59)&gt;1.2,"HIGH",IF(ABS('Data Input'!J59)&gt;0.8,"MEDIUM","LOW"))),"LOW")</f>
        <v>LOW</v>
      </c>
      <c r="V45" s="43">
        <f t="shared" ca="1" si="7"/>
        <v>50</v>
      </c>
      <c r="W45" s="43">
        <f t="shared" ca="1" si="8"/>
        <v>50</v>
      </c>
      <c r="X45" s="43">
        <f t="shared" ca="1" si="9"/>
        <v>50</v>
      </c>
      <c r="Y45" s="43">
        <f t="shared" ca="1" si="10"/>
        <v>42</v>
      </c>
      <c r="Z45" s="43">
        <f t="shared" ca="1" si="11"/>
        <v>49</v>
      </c>
      <c r="AA45" s="17" t="str">
        <f t="shared" ca="1" si="12"/>
        <v>HOLD</v>
      </c>
      <c r="AB45" s="17" t="str">
        <f t="shared" ca="1" si="13"/>
        <v>P3 — MONITOR</v>
      </c>
    </row>
    <row r="46" spans="1:28" ht="15" customHeight="1" x14ac:dyDescent="0.3">
      <c r="A46" s="64" t="str">
        <f>'Data Input'!A60</f>
        <v>EEM</v>
      </c>
      <c r="B46" s="85" t="str">
        <f ca="1">'Data Input'!D60</f>
        <v/>
      </c>
      <c r="C46" s="86" t="str">
        <f ca="1">IFERROR(IF(B46="","",B46/(1+'Data Input'!M60)),"")</f>
        <v/>
      </c>
      <c r="D46" s="86" t="str">
        <f ca="1">IFERROR(IF(C46="","",C46+$B$7*C46*('Data Input'!H60/SQRT(252)*SQRT($B$6))),"")</f>
        <v/>
      </c>
      <c r="E46" s="86" t="str">
        <f ca="1">IFERROR(IF(C46="","",C46-$B$7*C46*('Data Input'!H60/SQRT(252)*SQRT($B$6))),"")</f>
        <v/>
      </c>
      <c r="F46" s="27" t="str">
        <f t="shared" ca="1" si="0"/>
        <v/>
      </c>
      <c r="G46" s="42">
        <f t="shared" ca="1" si="1"/>
        <v>0.5</v>
      </c>
      <c r="H46" s="17" t="str">
        <f t="shared" ca="1" si="2"/>
        <v>NEUTRAL</v>
      </c>
      <c r="I46" s="17" t="str">
        <f ca="1">IFERROR(IF(OR('Data Input'!P60="",'Data Input'!N60=""),"N/A",IF(AND('Data Input'!P60&gt;0,'Data Input'!N60&gt;0,'Data Input'!M60&gt;0),"IMPULSE (W3/5)",IF(AND('Data Input'!P60&gt;0,'Data Input'!N60&lt;0),"CORRECTIVE (W4)",IF(AND('Data Input'!P60&lt;0,'Data Input'!M60&gt;0),"WAVE 1 START",IF(AND('Data Input'!P60&lt;0,'Data Input'!M60&lt;0),"DECLINE (WC)","TRANSITION"))))),"N/A")</f>
        <v>N/A</v>
      </c>
      <c r="J46" s="17" t="str">
        <f ca="1">IF(I46="IMPULSE (W3/5)",IF('Data Input'!M60&gt;0.03,"W5","W3"),IF(I46="CORRECTIVE (W4)","W4",IF(I46="WAVE 1 START","W1",IF(I46="DECLINE (WC)","WC","—"))))</f>
        <v>—</v>
      </c>
      <c r="K46" s="17" t="str">
        <f ca="1">IFERROR(IF(OR('Data Input'!M60="",'Data Input'!N60=""),"",IF((IF('Data Input'!M60&gt;0,1,0)+IF('Data Input'!N60&gt;0,1,0)+IF('Data Input'!O60&gt;0,1,0)+IF('Data Input'!P60&gt;0,1,0))&gt;=3,"YES","NO")),"")</f>
        <v/>
      </c>
      <c r="L46" s="87" t="str">
        <f ca="1">IFERROR(IF(OR('Data Input'!P60="",'Data Input'!N60=""),"",ABS('Data Input'!N60/IF('Data Input'!P60=0,0.001,'Data Input'!P60))),"")</f>
        <v/>
      </c>
      <c r="M46" s="17" t="str">
        <f t="shared" ca="1" si="3"/>
        <v/>
      </c>
      <c r="N46" s="88" t="str">
        <f ca="1">IFERROR(IF('Data Input'!M60="","",DEGREES(ATAN('Data Input'!M60*12/$B$22))),"")</f>
        <v/>
      </c>
      <c r="O46" s="17" t="str">
        <f t="shared" ca="1" si="4"/>
        <v/>
      </c>
      <c r="P46" s="42" t="str">
        <f ca="1">IFERROR(IF('Data Input'!P60="","",ABS('Data Input'!P60)*12),"")</f>
        <v/>
      </c>
      <c r="Q46" s="87" t="str">
        <f t="shared" ca="1" si="5"/>
        <v/>
      </c>
      <c r="R46" s="17" t="str">
        <f t="shared" ca="1" si="6"/>
        <v/>
      </c>
      <c r="S46" s="48">
        <f ca="1">IFERROR(IF('Data Input'!M60="",50,MIN(100,MAX(0,50+'Data Input'!M60*500))),50)</f>
        <v>50</v>
      </c>
      <c r="T46" s="27">
        <f ca="1">IFERROR(IF(OR('Data Input'!M60="",'Data Input'!N60=""),0,'Data Input'!M60-'Data Input'!N60),0)</f>
        <v>0</v>
      </c>
      <c r="U46" s="17" t="str">
        <f ca="1">IFERROR(IF('Data Input'!J60="","LOW",IF(ABS('Data Input'!J60)&gt;1.2,"HIGH",IF(ABS('Data Input'!J60)&gt;0.8,"MEDIUM","LOW"))),"LOW")</f>
        <v>LOW</v>
      </c>
      <c r="V46" s="43">
        <f t="shared" ca="1" si="7"/>
        <v>50</v>
      </c>
      <c r="W46" s="43">
        <f t="shared" ca="1" si="8"/>
        <v>50</v>
      </c>
      <c r="X46" s="43">
        <f t="shared" ca="1" si="9"/>
        <v>50</v>
      </c>
      <c r="Y46" s="43">
        <f t="shared" ca="1" si="10"/>
        <v>42</v>
      </c>
      <c r="Z46" s="43">
        <f t="shared" ca="1" si="11"/>
        <v>49</v>
      </c>
      <c r="AA46" s="17" t="str">
        <f t="shared" ca="1" si="12"/>
        <v>HOLD</v>
      </c>
      <c r="AB46" s="17" t="str">
        <f t="shared" ca="1" si="13"/>
        <v>P3 — MONITOR</v>
      </c>
    </row>
    <row r="47" spans="1:28" ht="15" customHeight="1" x14ac:dyDescent="0.3">
      <c r="A47" s="64" t="str">
        <f>'Data Input'!A61</f>
        <v>AGG</v>
      </c>
      <c r="B47" s="85" t="str">
        <f ca="1">'Data Input'!D61</f>
        <v/>
      </c>
      <c r="C47" s="86" t="str">
        <f ca="1">IFERROR(IF(B47="","",B47/(1+'Data Input'!M61)),"")</f>
        <v/>
      </c>
      <c r="D47" s="86" t="str">
        <f ca="1">IFERROR(IF(C47="","",C47+$B$7*C47*('Data Input'!H61/SQRT(252)*SQRT($B$6))),"")</f>
        <v/>
      </c>
      <c r="E47" s="86" t="str">
        <f ca="1">IFERROR(IF(C47="","",C47-$B$7*C47*('Data Input'!H61/SQRT(252)*SQRT($B$6))),"")</f>
        <v/>
      </c>
      <c r="F47" s="27" t="str">
        <f t="shared" ca="1" si="0"/>
        <v/>
      </c>
      <c r="G47" s="42">
        <f t="shared" ca="1" si="1"/>
        <v>0.5</v>
      </c>
      <c r="H47" s="17" t="str">
        <f t="shared" ca="1" si="2"/>
        <v>NEUTRAL</v>
      </c>
      <c r="I47" s="17" t="str">
        <f ca="1">IFERROR(IF(OR('Data Input'!P61="",'Data Input'!N61=""),"N/A",IF(AND('Data Input'!P61&gt;0,'Data Input'!N61&gt;0,'Data Input'!M61&gt;0),"IMPULSE (W3/5)",IF(AND('Data Input'!P61&gt;0,'Data Input'!N61&lt;0),"CORRECTIVE (W4)",IF(AND('Data Input'!P61&lt;0,'Data Input'!M61&gt;0),"WAVE 1 START",IF(AND('Data Input'!P61&lt;0,'Data Input'!M61&lt;0),"DECLINE (WC)","TRANSITION"))))),"N/A")</f>
        <v>N/A</v>
      </c>
      <c r="J47" s="17" t="str">
        <f ca="1">IF(I47="IMPULSE (W3/5)",IF('Data Input'!M61&gt;0.03,"W5","W3"),IF(I47="CORRECTIVE (W4)","W4",IF(I47="WAVE 1 START","W1",IF(I47="DECLINE (WC)","WC","—"))))</f>
        <v>—</v>
      </c>
      <c r="K47" s="17" t="str">
        <f ca="1">IFERROR(IF(OR('Data Input'!M61="",'Data Input'!N61=""),"",IF((IF('Data Input'!M61&gt;0,1,0)+IF('Data Input'!N61&gt;0,1,0)+IF('Data Input'!O61&gt;0,1,0)+IF('Data Input'!P61&gt;0,1,0))&gt;=3,"YES","NO")),"")</f>
        <v/>
      </c>
      <c r="L47" s="87" t="str">
        <f ca="1">IFERROR(IF(OR('Data Input'!P61="",'Data Input'!N61=""),"",ABS('Data Input'!N61/IF('Data Input'!P61=0,0.001,'Data Input'!P61))),"")</f>
        <v/>
      </c>
      <c r="M47" s="17" t="str">
        <f t="shared" ca="1" si="3"/>
        <v/>
      </c>
      <c r="N47" s="88" t="str">
        <f ca="1">IFERROR(IF('Data Input'!M61="","",DEGREES(ATAN('Data Input'!M61*12/$B$22))),"")</f>
        <v/>
      </c>
      <c r="O47" s="17" t="str">
        <f t="shared" ca="1" si="4"/>
        <v/>
      </c>
      <c r="P47" s="42" t="str">
        <f ca="1">IFERROR(IF('Data Input'!P61="","",ABS('Data Input'!P61)*12),"")</f>
        <v/>
      </c>
      <c r="Q47" s="87" t="str">
        <f t="shared" ca="1" si="5"/>
        <v/>
      </c>
      <c r="R47" s="17" t="str">
        <f t="shared" ca="1" si="6"/>
        <v/>
      </c>
      <c r="S47" s="48">
        <f ca="1">IFERROR(IF('Data Input'!M61="",50,MIN(100,MAX(0,50+'Data Input'!M61*500))),50)</f>
        <v>50</v>
      </c>
      <c r="T47" s="27">
        <f ca="1">IFERROR(IF(OR('Data Input'!M61="",'Data Input'!N61=""),0,'Data Input'!M61-'Data Input'!N61),0)</f>
        <v>0</v>
      </c>
      <c r="U47" s="17" t="str">
        <f ca="1">IFERROR(IF('Data Input'!J61="","LOW",IF(ABS('Data Input'!J61)&gt;1.2,"HIGH",IF(ABS('Data Input'!J61)&gt;0.8,"MEDIUM","LOW"))),"LOW")</f>
        <v>LOW</v>
      </c>
      <c r="V47" s="43">
        <f t="shared" ca="1" si="7"/>
        <v>50</v>
      </c>
      <c r="W47" s="43">
        <f t="shared" ca="1" si="8"/>
        <v>50</v>
      </c>
      <c r="X47" s="43">
        <f t="shared" ca="1" si="9"/>
        <v>50</v>
      </c>
      <c r="Y47" s="43">
        <f t="shared" ca="1" si="10"/>
        <v>42</v>
      </c>
      <c r="Z47" s="43">
        <f t="shared" ca="1" si="11"/>
        <v>49</v>
      </c>
      <c r="AA47" s="17" t="str">
        <f t="shared" ca="1" si="12"/>
        <v>HOLD</v>
      </c>
      <c r="AB47" s="17" t="str">
        <f t="shared" ca="1" si="13"/>
        <v>P3 — MONITOR</v>
      </c>
    </row>
    <row r="48" spans="1:28" ht="15" customHeight="1" x14ac:dyDescent="0.3">
      <c r="A48" s="64" t="str">
        <f>'Data Input'!A62</f>
        <v>TLT</v>
      </c>
      <c r="B48" s="85" t="str">
        <f ca="1">'Data Input'!D62</f>
        <v/>
      </c>
      <c r="C48" s="86" t="str">
        <f ca="1">IFERROR(IF(B48="","",B48/(1+'Data Input'!M62)),"")</f>
        <v/>
      </c>
      <c r="D48" s="86" t="str">
        <f ca="1">IFERROR(IF(C48="","",C48+$B$7*C48*('Data Input'!H62/SQRT(252)*SQRT($B$6))),"")</f>
        <v/>
      </c>
      <c r="E48" s="86" t="str">
        <f ca="1">IFERROR(IF(C48="","",C48-$B$7*C48*('Data Input'!H62/SQRT(252)*SQRT($B$6))),"")</f>
        <v/>
      </c>
      <c r="F48" s="27" t="str">
        <f t="shared" ca="1" si="0"/>
        <v/>
      </c>
      <c r="G48" s="42">
        <f t="shared" ca="1" si="1"/>
        <v>0.5</v>
      </c>
      <c r="H48" s="17" t="str">
        <f t="shared" ca="1" si="2"/>
        <v>NEUTRAL</v>
      </c>
      <c r="I48" s="17" t="str">
        <f ca="1">IFERROR(IF(OR('Data Input'!P62="",'Data Input'!N62=""),"N/A",IF(AND('Data Input'!P62&gt;0,'Data Input'!N62&gt;0,'Data Input'!M62&gt;0),"IMPULSE (W3/5)",IF(AND('Data Input'!P62&gt;0,'Data Input'!N62&lt;0),"CORRECTIVE (W4)",IF(AND('Data Input'!P62&lt;0,'Data Input'!M62&gt;0),"WAVE 1 START",IF(AND('Data Input'!P62&lt;0,'Data Input'!M62&lt;0),"DECLINE (WC)","TRANSITION"))))),"N/A")</f>
        <v>N/A</v>
      </c>
      <c r="J48" s="17" t="str">
        <f ca="1">IF(I48="IMPULSE (W3/5)",IF('Data Input'!M62&gt;0.03,"W5","W3"),IF(I48="CORRECTIVE (W4)","W4",IF(I48="WAVE 1 START","W1",IF(I48="DECLINE (WC)","WC","—"))))</f>
        <v>—</v>
      </c>
      <c r="K48" s="17" t="str">
        <f ca="1">IFERROR(IF(OR('Data Input'!M62="",'Data Input'!N62=""),"",IF((IF('Data Input'!M62&gt;0,1,0)+IF('Data Input'!N62&gt;0,1,0)+IF('Data Input'!O62&gt;0,1,0)+IF('Data Input'!P62&gt;0,1,0))&gt;=3,"YES","NO")),"")</f>
        <v/>
      </c>
      <c r="L48" s="87" t="str">
        <f ca="1">IFERROR(IF(OR('Data Input'!P62="",'Data Input'!N62=""),"",ABS('Data Input'!N62/IF('Data Input'!P62=0,0.001,'Data Input'!P62))),"")</f>
        <v/>
      </c>
      <c r="M48" s="17" t="str">
        <f t="shared" ca="1" si="3"/>
        <v/>
      </c>
      <c r="N48" s="88" t="str">
        <f ca="1">IFERROR(IF('Data Input'!M62="","",DEGREES(ATAN('Data Input'!M62*12/$B$22))),"")</f>
        <v/>
      </c>
      <c r="O48" s="17" t="str">
        <f t="shared" ca="1" si="4"/>
        <v/>
      </c>
      <c r="P48" s="42" t="str">
        <f ca="1">IFERROR(IF('Data Input'!P62="","",ABS('Data Input'!P62)*12),"")</f>
        <v/>
      </c>
      <c r="Q48" s="87" t="str">
        <f t="shared" ca="1" si="5"/>
        <v/>
      </c>
      <c r="R48" s="17" t="str">
        <f t="shared" ca="1" si="6"/>
        <v/>
      </c>
      <c r="S48" s="48">
        <f ca="1">IFERROR(IF('Data Input'!M62="",50,MIN(100,MAX(0,50+'Data Input'!M62*500))),50)</f>
        <v>50</v>
      </c>
      <c r="T48" s="27">
        <f ca="1">IFERROR(IF(OR('Data Input'!M62="",'Data Input'!N62=""),0,'Data Input'!M62-'Data Input'!N62),0)</f>
        <v>0</v>
      </c>
      <c r="U48" s="17" t="str">
        <f ca="1">IFERROR(IF('Data Input'!J62="","LOW",IF(ABS('Data Input'!J62)&gt;1.2,"HIGH",IF(ABS('Data Input'!J62)&gt;0.8,"MEDIUM","LOW"))),"LOW")</f>
        <v>LOW</v>
      </c>
      <c r="V48" s="43">
        <f t="shared" ca="1" si="7"/>
        <v>50</v>
      </c>
      <c r="W48" s="43">
        <f t="shared" ca="1" si="8"/>
        <v>50</v>
      </c>
      <c r="X48" s="43">
        <f t="shared" ca="1" si="9"/>
        <v>50</v>
      </c>
      <c r="Y48" s="43">
        <f t="shared" ca="1" si="10"/>
        <v>42</v>
      </c>
      <c r="Z48" s="43">
        <f t="shared" ca="1" si="11"/>
        <v>49</v>
      </c>
      <c r="AA48" s="17" t="str">
        <f t="shared" ca="1" si="12"/>
        <v>HOLD</v>
      </c>
      <c r="AB48" s="17" t="str">
        <f t="shared" ca="1" si="13"/>
        <v>P3 — MONITOR</v>
      </c>
    </row>
    <row r="49" spans="1:28" ht="15" customHeight="1" x14ac:dyDescent="0.3">
      <c r="A49" s="64" t="str">
        <f>'Data Input'!A63</f>
        <v>GLD</v>
      </c>
      <c r="B49" s="85" t="str">
        <f ca="1">'Data Input'!D63</f>
        <v/>
      </c>
      <c r="C49" s="86" t="str">
        <f ca="1">IFERROR(IF(B49="","",B49/(1+'Data Input'!M63)),"")</f>
        <v/>
      </c>
      <c r="D49" s="86" t="str">
        <f ca="1">IFERROR(IF(C49="","",C49+$B$7*C49*('Data Input'!H63/SQRT(252)*SQRT($B$6))),"")</f>
        <v/>
      </c>
      <c r="E49" s="86" t="str">
        <f ca="1">IFERROR(IF(C49="","",C49-$B$7*C49*('Data Input'!H63/SQRT(252)*SQRT($B$6))),"")</f>
        <v/>
      </c>
      <c r="F49" s="27" t="str">
        <f t="shared" ca="1" si="0"/>
        <v/>
      </c>
      <c r="G49" s="42">
        <f t="shared" ca="1" si="1"/>
        <v>0.5</v>
      </c>
      <c r="H49" s="17" t="str">
        <f t="shared" ca="1" si="2"/>
        <v>NEUTRAL</v>
      </c>
      <c r="I49" s="17" t="str">
        <f ca="1">IFERROR(IF(OR('Data Input'!P63="",'Data Input'!N63=""),"N/A",IF(AND('Data Input'!P63&gt;0,'Data Input'!N63&gt;0,'Data Input'!M63&gt;0),"IMPULSE (W3/5)",IF(AND('Data Input'!P63&gt;0,'Data Input'!N63&lt;0),"CORRECTIVE (W4)",IF(AND('Data Input'!P63&lt;0,'Data Input'!M63&gt;0),"WAVE 1 START",IF(AND('Data Input'!P63&lt;0,'Data Input'!M63&lt;0),"DECLINE (WC)","TRANSITION"))))),"N/A")</f>
        <v>N/A</v>
      </c>
      <c r="J49" s="17" t="str">
        <f ca="1">IF(I49="IMPULSE (W3/5)",IF('Data Input'!M63&gt;0.03,"W5","W3"),IF(I49="CORRECTIVE (W4)","W4",IF(I49="WAVE 1 START","W1",IF(I49="DECLINE (WC)","WC","—"))))</f>
        <v>—</v>
      </c>
      <c r="K49" s="17" t="str">
        <f ca="1">IFERROR(IF(OR('Data Input'!M63="",'Data Input'!N63=""),"",IF((IF('Data Input'!M63&gt;0,1,0)+IF('Data Input'!N63&gt;0,1,0)+IF('Data Input'!O63&gt;0,1,0)+IF('Data Input'!P63&gt;0,1,0))&gt;=3,"YES","NO")),"")</f>
        <v/>
      </c>
      <c r="L49" s="87" t="str">
        <f ca="1">IFERROR(IF(OR('Data Input'!P63="",'Data Input'!N63=""),"",ABS('Data Input'!N63/IF('Data Input'!P63=0,0.001,'Data Input'!P63))),"")</f>
        <v/>
      </c>
      <c r="M49" s="17" t="str">
        <f t="shared" ca="1" si="3"/>
        <v/>
      </c>
      <c r="N49" s="88" t="str">
        <f ca="1">IFERROR(IF('Data Input'!M63="","",DEGREES(ATAN('Data Input'!M63*12/$B$22))),"")</f>
        <v/>
      </c>
      <c r="O49" s="17" t="str">
        <f t="shared" ca="1" si="4"/>
        <v/>
      </c>
      <c r="P49" s="42" t="str">
        <f ca="1">IFERROR(IF('Data Input'!P63="","",ABS('Data Input'!P63)*12),"")</f>
        <v/>
      </c>
      <c r="Q49" s="87" t="str">
        <f t="shared" ca="1" si="5"/>
        <v/>
      </c>
      <c r="R49" s="17" t="str">
        <f t="shared" ca="1" si="6"/>
        <v/>
      </c>
      <c r="S49" s="48">
        <f ca="1">IFERROR(IF('Data Input'!M63="",50,MIN(100,MAX(0,50+'Data Input'!M63*500))),50)</f>
        <v>50</v>
      </c>
      <c r="T49" s="27">
        <f ca="1">IFERROR(IF(OR('Data Input'!M63="",'Data Input'!N63=""),0,'Data Input'!M63-'Data Input'!N63),0)</f>
        <v>0</v>
      </c>
      <c r="U49" s="17" t="str">
        <f ca="1">IFERROR(IF('Data Input'!J63="","LOW",IF(ABS('Data Input'!J63)&gt;1.2,"HIGH",IF(ABS('Data Input'!J63)&gt;0.8,"MEDIUM","LOW"))),"LOW")</f>
        <v>LOW</v>
      </c>
      <c r="V49" s="43">
        <f t="shared" ca="1" si="7"/>
        <v>50</v>
      </c>
      <c r="W49" s="43">
        <f t="shared" ca="1" si="8"/>
        <v>50</v>
      </c>
      <c r="X49" s="43">
        <f t="shared" ca="1" si="9"/>
        <v>50</v>
      </c>
      <c r="Y49" s="43">
        <f t="shared" ca="1" si="10"/>
        <v>42</v>
      </c>
      <c r="Z49" s="43">
        <f t="shared" ca="1" si="11"/>
        <v>49</v>
      </c>
      <c r="AA49" s="17" t="str">
        <f t="shared" ca="1" si="12"/>
        <v>HOLD</v>
      </c>
      <c r="AB49" s="17" t="str">
        <f t="shared" ca="1" si="13"/>
        <v>P3 — MONITOR</v>
      </c>
    </row>
    <row r="50" spans="1:28" ht="15" customHeight="1" x14ac:dyDescent="0.3">
      <c r="A50" s="64" t="str">
        <f>'Data Input'!A64</f>
        <v>VNQ</v>
      </c>
      <c r="B50" s="85" t="str">
        <f ca="1">'Data Input'!D64</f>
        <v/>
      </c>
      <c r="C50" s="86" t="str">
        <f ca="1">IFERROR(IF(B50="","",B50/(1+'Data Input'!M64)),"")</f>
        <v/>
      </c>
      <c r="D50" s="86" t="str">
        <f ca="1">IFERROR(IF(C50="","",C50+$B$7*C50*('Data Input'!H64/SQRT(252)*SQRT($B$6))),"")</f>
        <v/>
      </c>
      <c r="E50" s="86" t="str">
        <f ca="1">IFERROR(IF(C50="","",C50-$B$7*C50*('Data Input'!H64/SQRT(252)*SQRT($B$6))),"")</f>
        <v/>
      </c>
      <c r="F50" s="27" t="str">
        <f t="shared" ca="1" si="0"/>
        <v/>
      </c>
      <c r="G50" s="42">
        <f t="shared" ca="1" si="1"/>
        <v>0.5</v>
      </c>
      <c r="H50" s="17" t="str">
        <f t="shared" ca="1" si="2"/>
        <v>NEUTRAL</v>
      </c>
      <c r="I50" s="17" t="str">
        <f ca="1">IFERROR(IF(OR('Data Input'!P64="",'Data Input'!N64=""),"N/A",IF(AND('Data Input'!P64&gt;0,'Data Input'!N64&gt;0,'Data Input'!M64&gt;0),"IMPULSE (W3/5)",IF(AND('Data Input'!P64&gt;0,'Data Input'!N64&lt;0),"CORRECTIVE (W4)",IF(AND('Data Input'!P64&lt;0,'Data Input'!M64&gt;0),"WAVE 1 START",IF(AND('Data Input'!P64&lt;0,'Data Input'!M64&lt;0),"DECLINE (WC)","TRANSITION"))))),"N/A")</f>
        <v>N/A</v>
      </c>
      <c r="J50" s="17" t="str">
        <f ca="1">IF(I50="IMPULSE (W3/5)",IF('Data Input'!M64&gt;0.03,"W5","W3"),IF(I50="CORRECTIVE (W4)","W4",IF(I50="WAVE 1 START","W1",IF(I50="DECLINE (WC)","WC","—"))))</f>
        <v>—</v>
      </c>
      <c r="K50" s="17" t="str">
        <f ca="1">IFERROR(IF(OR('Data Input'!M64="",'Data Input'!N64=""),"",IF((IF('Data Input'!M64&gt;0,1,0)+IF('Data Input'!N64&gt;0,1,0)+IF('Data Input'!O64&gt;0,1,0)+IF('Data Input'!P64&gt;0,1,0))&gt;=3,"YES","NO")),"")</f>
        <v/>
      </c>
      <c r="L50" s="87" t="str">
        <f ca="1">IFERROR(IF(OR('Data Input'!P64="",'Data Input'!N64=""),"",ABS('Data Input'!N64/IF('Data Input'!P64=0,0.001,'Data Input'!P64))),"")</f>
        <v/>
      </c>
      <c r="M50" s="17" t="str">
        <f t="shared" ca="1" si="3"/>
        <v/>
      </c>
      <c r="N50" s="88" t="str">
        <f ca="1">IFERROR(IF('Data Input'!M64="","",DEGREES(ATAN('Data Input'!M64*12/$B$22))),"")</f>
        <v/>
      </c>
      <c r="O50" s="17" t="str">
        <f t="shared" ca="1" si="4"/>
        <v/>
      </c>
      <c r="P50" s="42" t="str">
        <f ca="1">IFERROR(IF('Data Input'!P64="","",ABS('Data Input'!P64)*12),"")</f>
        <v/>
      </c>
      <c r="Q50" s="87" t="str">
        <f t="shared" ca="1" si="5"/>
        <v/>
      </c>
      <c r="R50" s="17" t="str">
        <f t="shared" ca="1" si="6"/>
        <v/>
      </c>
      <c r="S50" s="48">
        <f ca="1">IFERROR(IF('Data Input'!M64="",50,MIN(100,MAX(0,50+'Data Input'!M64*500))),50)</f>
        <v>50</v>
      </c>
      <c r="T50" s="27">
        <f ca="1">IFERROR(IF(OR('Data Input'!M64="",'Data Input'!N64=""),0,'Data Input'!M64-'Data Input'!N64),0)</f>
        <v>0</v>
      </c>
      <c r="U50" s="17" t="str">
        <f ca="1">IFERROR(IF('Data Input'!J64="","LOW",IF(ABS('Data Input'!J64)&gt;1.2,"HIGH",IF(ABS('Data Input'!J64)&gt;0.8,"MEDIUM","LOW"))),"LOW")</f>
        <v>LOW</v>
      </c>
      <c r="V50" s="43">
        <f t="shared" ca="1" si="7"/>
        <v>50</v>
      </c>
      <c r="W50" s="43">
        <f t="shared" ca="1" si="8"/>
        <v>50</v>
      </c>
      <c r="X50" s="43">
        <f t="shared" ca="1" si="9"/>
        <v>50</v>
      </c>
      <c r="Y50" s="43">
        <f t="shared" ca="1" si="10"/>
        <v>42</v>
      </c>
      <c r="Z50" s="43">
        <f t="shared" ca="1" si="11"/>
        <v>49</v>
      </c>
      <c r="AA50" s="17" t="str">
        <f t="shared" ca="1" si="12"/>
        <v>HOLD</v>
      </c>
      <c r="AB50" s="17" t="str">
        <f t="shared" ca="1" si="13"/>
        <v>P3 — MONITOR</v>
      </c>
    </row>
    <row r="51" spans="1:28" ht="15" customHeight="1" x14ac:dyDescent="0.3">
      <c r="A51" s="64" t="str">
        <f>'Data Input'!A65</f>
        <v>XLK</v>
      </c>
      <c r="B51" s="85" t="str">
        <f ca="1">'Data Input'!D65</f>
        <v/>
      </c>
      <c r="C51" s="86" t="str">
        <f ca="1">IFERROR(IF(B51="","",B51/(1+'Data Input'!M65)),"")</f>
        <v/>
      </c>
      <c r="D51" s="86" t="str">
        <f ca="1">IFERROR(IF(C51="","",C51+$B$7*C51*('Data Input'!H65/SQRT(252)*SQRT($B$6))),"")</f>
        <v/>
      </c>
      <c r="E51" s="86" t="str">
        <f ca="1">IFERROR(IF(C51="","",C51-$B$7*C51*('Data Input'!H65/SQRT(252)*SQRT($B$6))),"")</f>
        <v/>
      </c>
      <c r="F51" s="27" t="str">
        <f t="shared" ca="1" si="0"/>
        <v/>
      </c>
      <c r="G51" s="42">
        <f t="shared" ca="1" si="1"/>
        <v>0.5</v>
      </c>
      <c r="H51" s="17" t="str">
        <f t="shared" ca="1" si="2"/>
        <v>NEUTRAL</v>
      </c>
      <c r="I51" s="17" t="str">
        <f ca="1">IFERROR(IF(OR('Data Input'!P65="",'Data Input'!N65=""),"N/A",IF(AND('Data Input'!P65&gt;0,'Data Input'!N65&gt;0,'Data Input'!M65&gt;0),"IMPULSE (W3/5)",IF(AND('Data Input'!P65&gt;0,'Data Input'!N65&lt;0),"CORRECTIVE (W4)",IF(AND('Data Input'!P65&lt;0,'Data Input'!M65&gt;0),"WAVE 1 START",IF(AND('Data Input'!P65&lt;0,'Data Input'!M65&lt;0),"DECLINE (WC)","TRANSITION"))))),"N/A")</f>
        <v>N/A</v>
      </c>
      <c r="J51" s="17" t="str">
        <f ca="1">IF(I51="IMPULSE (W3/5)",IF('Data Input'!M65&gt;0.03,"W5","W3"),IF(I51="CORRECTIVE (W4)","W4",IF(I51="WAVE 1 START","W1",IF(I51="DECLINE (WC)","WC","—"))))</f>
        <v>—</v>
      </c>
      <c r="K51" s="17" t="str">
        <f ca="1">IFERROR(IF(OR('Data Input'!M65="",'Data Input'!N65=""),"",IF((IF('Data Input'!M65&gt;0,1,0)+IF('Data Input'!N65&gt;0,1,0)+IF('Data Input'!O65&gt;0,1,0)+IF('Data Input'!P65&gt;0,1,0))&gt;=3,"YES","NO")),"")</f>
        <v/>
      </c>
      <c r="L51" s="87" t="str">
        <f ca="1">IFERROR(IF(OR('Data Input'!P65="",'Data Input'!N65=""),"",ABS('Data Input'!N65/IF('Data Input'!P65=0,0.001,'Data Input'!P65))),"")</f>
        <v/>
      </c>
      <c r="M51" s="17" t="str">
        <f t="shared" ca="1" si="3"/>
        <v/>
      </c>
      <c r="N51" s="88" t="str">
        <f ca="1">IFERROR(IF('Data Input'!M65="","",DEGREES(ATAN('Data Input'!M65*12/$B$22))),"")</f>
        <v/>
      </c>
      <c r="O51" s="17" t="str">
        <f t="shared" ca="1" si="4"/>
        <v/>
      </c>
      <c r="P51" s="42" t="str">
        <f ca="1">IFERROR(IF('Data Input'!P65="","",ABS('Data Input'!P65)*12),"")</f>
        <v/>
      </c>
      <c r="Q51" s="87" t="str">
        <f t="shared" ca="1" si="5"/>
        <v/>
      </c>
      <c r="R51" s="17" t="str">
        <f t="shared" ca="1" si="6"/>
        <v/>
      </c>
      <c r="S51" s="48">
        <f ca="1">IFERROR(IF('Data Input'!M65="",50,MIN(100,MAX(0,50+'Data Input'!M65*500))),50)</f>
        <v>50</v>
      </c>
      <c r="T51" s="27">
        <f ca="1">IFERROR(IF(OR('Data Input'!M65="",'Data Input'!N65=""),0,'Data Input'!M65-'Data Input'!N65),0)</f>
        <v>0</v>
      </c>
      <c r="U51" s="17" t="str">
        <f ca="1">IFERROR(IF('Data Input'!J65="","LOW",IF(ABS('Data Input'!J65)&gt;1.2,"HIGH",IF(ABS('Data Input'!J65)&gt;0.8,"MEDIUM","LOW"))),"LOW")</f>
        <v>LOW</v>
      </c>
      <c r="V51" s="43">
        <f t="shared" ca="1" si="7"/>
        <v>50</v>
      </c>
      <c r="W51" s="43">
        <f t="shared" ca="1" si="8"/>
        <v>50</v>
      </c>
      <c r="X51" s="43">
        <f t="shared" ca="1" si="9"/>
        <v>50</v>
      </c>
      <c r="Y51" s="43">
        <f t="shared" ca="1" si="10"/>
        <v>42</v>
      </c>
      <c r="Z51" s="43">
        <f t="shared" ca="1" si="11"/>
        <v>49</v>
      </c>
      <c r="AA51" s="17" t="str">
        <f t="shared" ca="1" si="12"/>
        <v>HOLD</v>
      </c>
      <c r="AB51" s="17" t="str">
        <f t="shared" ca="1" si="13"/>
        <v>P3 — MONITOR</v>
      </c>
    </row>
    <row r="52" spans="1:28" ht="15" customHeight="1" x14ac:dyDescent="0.3">
      <c r="A52" s="64" t="str">
        <f>'Data Input'!A66</f>
        <v>XLV</v>
      </c>
      <c r="B52" s="85" t="str">
        <f ca="1">'Data Input'!D66</f>
        <v/>
      </c>
      <c r="C52" s="86" t="str">
        <f ca="1">IFERROR(IF(B52="","",B52/(1+'Data Input'!M66)),"")</f>
        <v/>
      </c>
      <c r="D52" s="86" t="str">
        <f ca="1">IFERROR(IF(C52="","",C52+$B$7*C52*('Data Input'!H66/SQRT(252)*SQRT($B$6))),"")</f>
        <v/>
      </c>
      <c r="E52" s="86" t="str">
        <f ca="1">IFERROR(IF(C52="","",C52-$B$7*C52*('Data Input'!H66/SQRT(252)*SQRT($B$6))),"")</f>
        <v/>
      </c>
      <c r="F52" s="27" t="str">
        <f t="shared" ca="1" si="0"/>
        <v/>
      </c>
      <c r="G52" s="42">
        <f t="shared" ca="1" si="1"/>
        <v>0.5</v>
      </c>
      <c r="H52" s="17" t="str">
        <f t="shared" ca="1" si="2"/>
        <v>NEUTRAL</v>
      </c>
      <c r="I52" s="17" t="str">
        <f ca="1">IFERROR(IF(OR('Data Input'!P66="",'Data Input'!N66=""),"N/A",IF(AND('Data Input'!P66&gt;0,'Data Input'!N66&gt;0,'Data Input'!M66&gt;0),"IMPULSE (W3/5)",IF(AND('Data Input'!P66&gt;0,'Data Input'!N66&lt;0),"CORRECTIVE (W4)",IF(AND('Data Input'!P66&lt;0,'Data Input'!M66&gt;0),"WAVE 1 START",IF(AND('Data Input'!P66&lt;0,'Data Input'!M66&lt;0),"DECLINE (WC)","TRANSITION"))))),"N/A")</f>
        <v>N/A</v>
      </c>
      <c r="J52" s="17" t="str">
        <f ca="1">IF(I52="IMPULSE (W3/5)",IF('Data Input'!M66&gt;0.03,"W5","W3"),IF(I52="CORRECTIVE (W4)","W4",IF(I52="WAVE 1 START","W1",IF(I52="DECLINE (WC)","WC","—"))))</f>
        <v>—</v>
      </c>
      <c r="K52" s="17" t="str">
        <f ca="1">IFERROR(IF(OR('Data Input'!M66="",'Data Input'!N66=""),"",IF((IF('Data Input'!M66&gt;0,1,0)+IF('Data Input'!N66&gt;0,1,0)+IF('Data Input'!O66&gt;0,1,0)+IF('Data Input'!P66&gt;0,1,0))&gt;=3,"YES","NO")),"")</f>
        <v/>
      </c>
      <c r="L52" s="87" t="str">
        <f ca="1">IFERROR(IF(OR('Data Input'!P66="",'Data Input'!N66=""),"",ABS('Data Input'!N66/IF('Data Input'!P66=0,0.001,'Data Input'!P66))),"")</f>
        <v/>
      </c>
      <c r="M52" s="17" t="str">
        <f t="shared" ca="1" si="3"/>
        <v/>
      </c>
      <c r="N52" s="88" t="str">
        <f ca="1">IFERROR(IF('Data Input'!M66="","",DEGREES(ATAN('Data Input'!M66*12/$B$22))),"")</f>
        <v/>
      </c>
      <c r="O52" s="17" t="str">
        <f t="shared" ca="1" si="4"/>
        <v/>
      </c>
      <c r="P52" s="42" t="str">
        <f ca="1">IFERROR(IF('Data Input'!P66="","",ABS('Data Input'!P66)*12),"")</f>
        <v/>
      </c>
      <c r="Q52" s="87" t="str">
        <f t="shared" ca="1" si="5"/>
        <v/>
      </c>
      <c r="R52" s="17" t="str">
        <f t="shared" ca="1" si="6"/>
        <v/>
      </c>
      <c r="S52" s="48">
        <f ca="1">IFERROR(IF('Data Input'!M66="",50,MIN(100,MAX(0,50+'Data Input'!M66*500))),50)</f>
        <v>50</v>
      </c>
      <c r="T52" s="27">
        <f ca="1">IFERROR(IF(OR('Data Input'!M66="",'Data Input'!N66=""),0,'Data Input'!M66-'Data Input'!N66),0)</f>
        <v>0</v>
      </c>
      <c r="U52" s="17" t="str">
        <f ca="1">IFERROR(IF('Data Input'!J66="","LOW",IF(ABS('Data Input'!J66)&gt;1.2,"HIGH",IF(ABS('Data Input'!J66)&gt;0.8,"MEDIUM","LOW"))),"LOW")</f>
        <v>LOW</v>
      </c>
      <c r="V52" s="43">
        <f t="shared" ca="1" si="7"/>
        <v>50</v>
      </c>
      <c r="W52" s="43">
        <f t="shared" ca="1" si="8"/>
        <v>50</v>
      </c>
      <c r="X52" s="43">
        <f t="shared" ca="1" si="9"/>
        <v>50</v>
      </c>
      <c r="Y52" s="43">
        <f t="shared" ca="1" si="10"/>
        <v>42</v>
      </c>
      <c r="Z52" s="43">
        <f t="shared" ca="1" si="11"/>
        <v>49</v>
      </c>
      <c r="AA52" s="17" t="str">
        <f t="shared" ca="1" si="12"/>
        <v>HOLD</v>
      </c>
      <c r="AB52" s="17" t="str">
        <f t="shared" ca="1" si="13"/>
        <v>P3 — MONITOR</v>
      </c>
    </row>
    <row r="53" spans="1:28" ht="15" customHeight="1" x14ac:dyDescent="0.3">
      <c r="A53" s="64" t="str">
        <f>'Data Input'!A67</f>
        <v>XLE</v>
      </c>
      <c r="B53" s="85" t="str">
        <f ca="1">'Data Input'!D67</f>
        <v/>
      </c>
      <c r="C53" s="86" t="str">
        <f ca="1">IFERROR(IF(B53="","",B53/(1+'Data Input'!M67)),"")</f>
        <v/>
      </c>
      <c r="D53" s="86" t="str">
        <f ca="1">IFERROR(IF(C53="","",C53+$B$7*C53*('Data Input'!H67/SQRT(252)*SQRT($B$6))),"")</f>
        <v/>
      </c>
      <c r="E53" s="86" t="str">
        <f ca="1">IFERROR(IF(C53="","",C53-$B$7*C53*('Data Input'!H67/SQRT(252)*SQRT($B$6))),"")</f>
        <v/>
      </c>
      <c r="F53" s="27" t="str">
        <f t="shared" ca="1" si="0"/>
        <v/>
      </c>
      <c r="G53" s="42">
        <f t="shared" ca="1" si="1"/>
        <v>0.5</v>
      </c>
      <c r="H53" s="17" t="str">
        <f t="shared" ca="1" si="2"/>
        <v>NEUTRAL</v>
      </c>
      <c r="I53" s="17" t="str">
        <f ca="1">IFERROR(IF(OR('Data Input'!P67="",'Data Input'!N67=""),"N/A",IF(AND('Data Input'!P67&gt;0,'Data Input'!N67&gt;0,'Data Input'!M67&gt;0),"IMPULSE (W3/5)",IF(AND('Data Input'!P67&gt;0,'Data Input'!N67&lt;0),"CORRECTIVE (W4)",IF(AND('Data Input'!P67&lt;0,'Data Input'!M67&gt;0),"WAVE 1 START",IF(AND('Data Input'!P67&lt;0,'Data Input'!M67&lt;0),"DECLINE (WC)","TRANSITION"))))),"N/A")</f>
        <v>N/A</v>
      </c>
      <c r="J53" s="17" t="str">
        <f ca="1">IF(I53="IMPULSE (W3/5)",IF('Data Input'!M67&gt;0.03,"W5","W3"),IF(I53="CORRECTIVE (W4)","W4",IF(I53="WAVE 1 START","W1",IF(I53="DECLINE (WC)","WC","—"))))</f>
        <v>—</v>
      </c>
      <c r="K53" s="17" t="str">
        <f ca="1">IFERROR(IF(OR('Data Input'!M67="",'Data Input'!N67=""),"",IF((IF('Data Input'!M67&gt;0,1,0)+IF('Data Input'!N67&gt;0,1,0)+IF('Data Input'!O67&gt;0,1,0)+IF('Data Input'!P67&gt;0,1,0))&gt;=3,"YES","NO")),"")</f>
        <v/>
      </c>
      <c r="L53" s="87" t="str">
        <f ca="1">IFERROR(IF(OR('Data Input'!P67="",'Data Input'!N67=""),"",ABS('Data Input'!N67/IF('Data Input'!P67=0,0.001,'Data Input'!P67))),"")</f>
        <v/>
      </c>
      <c r="M53" s="17" t="str">
        <f t="shared" ca="1" si="3"/>
        <v/>
      </c>
      <c r="N53" s="88" t="str">
        <f ca="1">IFERROR(IF('Data Input'!M67="","",DEGREES(ATAN('Data Input'!M67*12/$B$22))),"")</f>
        <v/>
      </c>
      <c r="O53" s="17" t="str">
        <f t="shared" ca="1" si="4"/>
        <v/>
      </c>
      <c r="P53" s="42" t="str">
        <f ca="1">IFERROR(IF('Data Input'!P67="","",ABS('Data Input'!P67)*12),"")</f>
        <v/>
      </c>
      <c r="Q53" s="87" t="str">
        <f t="shared" ca="1" si="5"/>
        <v/>
      </c>
      <c r="R53" s="17" t="str">
        <f t="shared" ca="1" si="6"/>
        <v/>
      </c>
      <c r="S53" s="48">
        <f ca="1">IFERROR(IF('Data Input'!M67="",50,MIN(100,MAX(0,50+'Data Input'!M67*500))),50)</f>
        <v>50</v>
      </c>
      <c r="T53" s="27">
        <f ca="1">IFERROR(IF(OR('Data Input'!M67="",'Data Input'!N67=""),0,'Data Input'!M67-'Data Input'!N67),0)</f>
        <v>0</v>
      </c>
      <c r="U53" s="17" t="str">
        <f ca="1">IFERROR(IF('Data Input'!J67="","LOW",IF(ABS('Data Input'!J67)&gt;1.2,"HIGH",IF(ABS('Data Input'!J67)&gt;0.8,"MEDIUM","LOW"))),"LOW")</f>
        <v>LOW</v>
      </c>
      <c r="V53" s="43">
        <f t="shared" ca="1" si="7"/>
        <v>50</v>
      </c>
      <c r="W53" s="43">
        <f t="shared" ca="1" si="8"/>
        <v>50</v>
      </c>
      <c r="X53" s="43">
        <f t="shared" ca="1" si="9"/>
        <v>50</v>
      </c>
      <c r="Y53" s="43">
        <f t="shared" ca="1" si="10"/>
        <v>42</v>
      </c>
      <c r="Z53" s="43">
        <f t="shared" ca="1" si="11"/>
        <v>49</v>
      </c>
      <c r="AA53" s="17" t="str">
        <f t="shared" ca="1" si="12"/>
        <v>HOLD</v>
      </c>
      <c r="AB53" s="17" t="str">
        <f t="shared" ca="1" si="13"/>
        <v>P3 — MONITOR</v>
      </c>
    </row>
    <row r="54" spans="1:28" ht="15" customHeight="1" x14ac:dyDescent="0.3">
      <c r="A54" s="64" t="str">
        <f>'Data Input'!A68</f>
        <v>XLF</v>
      </c>
      <c r="B54" s="85" t="str">
        <f ca="1">'Data Input'!D68</f>
        <v/>
      </c>
      <c r="C54" s="86" t="str">
        <f ca="1">IFERROR(IF(B54="","",B54/(1+'Data Input'!M68)),"")</f>
        <v/>
      </c>
      <c r="D54" s="86" t="str">
        <f ca="1">IFERROR(IF(C54="","",C54+$B$7*C54*('Data Input'!H68/SQRT(252)*SQRT($B$6))),"")</f>
        <v/>
      </c>
      <c r="E54" s="86" t="str">
        <f ca="1">IFERROR(IF(C54="","",C54-$B$7*C54*('Data Input'!H68/SQRT(252)*SQRT($B$6))),"")</f>
        <v/>
      </c>
      <c r="F54" s="27" t="str">
        <f t="shared" ca="1" si="0"/>
        <v/>
      </c>
      <c r="G54" s="42">
        <f t="shared" ca="1" si="1"/>
        <v>0.5</v>
      </c>
      <c r="H54" s="17" t="str">
        <f t="shared" ca="1" si="2"/>
        <v>NEUTRAL</v>
      </c>
      <c r="I54" s="17" t="str">
        <f ca="1">IFERROR(IF(OR('Data Input'!P68="",'Data Input'!N68=""),"N/A",IF(AND('Data Input'!P68&gt;0,'Data Input'!N68&gt;0,'Data Input'!M68&gt;0),"IMPULSE (W3/5)",IF(AND('Data Input'!P68&gt;0,'Data Input'!N68&lt;0),"CORRECTIVE (W4)",IF(AND('Data Input'!P68&lt;0,'Data Input'!M68&gt;0),"WAVE 1 START",IF(AND('Data Input'!P68&lt;0,'Data Input'!M68&lt;0),"DECLINE (WC)","TRANSITION"))))),"N/A")</f>
        <v>N/A</v>
      </c>
      <c r="J54" s="17" t="str">
        <f ca="1">IF(I54="IMPULSE (W3/5)",IF('Data Input'!M68&gt;0.03,"W5","W3"),IF(I54="CORRECTIVE (W4)","W4",IF(I54="WAVE 1 START","W1",IF(I54="DECLINE (WC)","WC","—"))))</f>
        <v>—</v>
      </c>
      <c r="K54" s="17" t="str">
        <f ca="1">IFERROR(IF(OR('Data Input'!M68="",'Data Input'!N68=""),"",IF((IF('Data Input'!M68&gt;0,1,0)+IF('Data Input'!N68&gt;0,1,0)+IF('Data Input'!O68&gt;0,1,0)+IF('Data Input'!P68&gt;0,1,0))&gt;=3,"YES","NO")),"")</f>
        <v/>
      </c>
      <c r="L54" s="87" t="str">
        <f ca="1">IFERROR(IF(OR('Data Input'!P68="",'Data Input'!N68=""),"",ABS('Data Input'!N68/IF('Data Input'!P68=0,0.001,'Data Input'!P68))),"")</f>
        <v/>
      </c>
      <c r="M54" s="17" t="str">
        <f t="shared" ca="1" si="3"/>
        <v/>
      </c>
      <c r="N54" s="88" t="str">
        <f ca="1">IFERROR(IF('Data Input'!M68="","",DEGREES(ATAN('Data Input'!M68*12/$B$22))),"")</f>
        <v/>
      </c>
      <c r="O54" s="17" t="str">
        <f t="shared" ca="1" si="4"/>
        <v/>
      </c>
      <c r="P54" s="42" t="str">
        <f ca="1">IFERROR(IF('Data Input'!P68="","",ABS('Data Input'!P68)*12),"")</f>
        <v/>
      </c>
      <c r="Q54" s="87" t="str">
        <f t="shared" ca="1" si="5"/>
        <v/>
      </c>
      <c r="R54" s="17" t="str">
        <f t="shared" ca="1" si="6"/>
        <v/>
      </c>
      <c r="S54" s="48">
        <f ca="1">IFERROR(IF('Data Input'!M68="",50,MIN(100,MAX(0,50+'Data Input'!M68*500))),50)</f>
        <v>50</v>
      </c>
      <c r="T54" s="27">
        <f ca="1">IFERROR(IF(OR('Data Input'!M68="",'Data Input'!N68=""),0,'Data Input'!M68-'Data Input'!N68),0)</f>
        <v>0</v>
      </c>
      <c r="U54" s="17" t="str">
        <f ca="1">IFERROR(IF('Data Input'!J68="","LOW",IF(ABS('Data Input'!J68)&gt;1.2,"HIGH",IF(ABS('Data Input'!J68)&gt;0.8,"MEDIUM","LOW"))),"LOW")</f>
        <v>LOW</v>
      </c>
      <c r="V54" s="43">
        <f t="shared" ca="1" si="7"/>
        <v>50</v>
      </c>
      <c r="W54" s="43">
        <f t="shared" ca="1" si="8"/>
        <v>50</v>
      </c>
      <c r="X54" s="43">
        <f t="shared" ca="1" si="9"/>
        <v>50</v>
      </c>
      <c r="Y54" s="43">
        <f t="shared" ca="1" si="10"/>
        <v>42</v>
      </c>
      <c r="Z54" s="43">
        <f t="shared" ca="1" si="11"/>
        <v>49</v>
      </c>
      <c r="AA54" s="17" t="str">
        <f t="shared" ca="1" si="12"/>
        <v>HOLD</v>
      </c>
      <c r="AB54" s="17" t="str">
        <f t="shared" ca="1" si="13"/>
        <v>P3 — MONITOR</v>
      </c>
    </row>
    <row r="55" spans="1:28" ht="15" customHeight="1" x14ac:dyDescent="0.3">
      <c r="A55" s="64" t="str">
        <f>'Data Input'!A69</f>
        <v>DBMF</v>
      </c>
      <c r="B55" s="85" t="str">
        <f ca="1">'Data Input'!D69</f>
        <v/>
      </c>
      <c r="C55" s="86" t="str">
        <f ca="1">IFERROR(IF(B55="","",B55/(1+'Data Input'!M69)),"")</f>
        <v/>
      </c>
      <c r="D55" s="86" t="str">
        <f ca="1">IFERROR(IF(C55="","",C55+$B$7*C55*('Data Input'!H69/SQRT(252)*SQRT($B$6))),"")</f>
        <v/>
      </c>
      <c r="E55" s="86" t="str">
        <f ca="1">IFERROR(IF(C55="","",C55-$B$7*C55*('Data Input'!H69/SQRT(252)*SQRT($B$6))),"")</f>
        <v/>
      </c>
      <c r="F55" s="27" t="str">
        <f t="shared" ca="1" si="0"/>
        <v/>
      </c>
      <c r="G55" s="42">
        <f t="shared" ca="1" si="1"/>
        <v>0.5</v>
      </c>
      <c r="H55" s="17" t="str">
        <f t="shared" ca="1" si="2"/>
        <v>NEUTRAL</v>
      </c>
      <c r="I55" s="17" t="str">
        <f ca="1">IFERROR(IF(OR('Data Input'!P69="",'Data Input'!N69=""),"N/A",IF(AND('Data Input'!P69&gt;0,'Data Input'!N69&gt;0,'Data Input'!M69&gt;0),"IMPULSE (W3/5)",IF(AND('Data Input'!P69&gt;0,'Data Input'!N69&lt;0),"CORRECTIVE (W4)",IF(AND('Data Input'!P69&lt;0,'Data Input'!M69&gt;0),"WAVE 1 START",IF(AND('Data Input'!P69&lt;0,'Data Input'!M69&lt;0),"DECLINE (WC)","TRANSITION"))))),"N/A")</f>
        <v>N/A</v>
      </c>
      <c r="J55" s="17" t="str">
        <f ca="1">IF(I55="IMPULSE (W3/5)",IF('Data Input'!M69&gt;0.03,"W5","W3"),IF(I55="CORRECTIVE (W4)","W4",IF(I55="WAVE 1 START","W1",IF(I55="DECLINE (WC)","WC","—"))))</f>
        <v>—</v>
      </c>
      <c r="K55" s="17" t="str">
        <f ca="1">IFERROR(IF(OR('Data Input'!M69="",'Data Input'!N69=""),"",IF((IF('Data Input'!M69&gt;0,1,0)+IF('Data Input'!N69&gt;0,1,0)+IF('Data Input'!O69&gt;0,1,0)+IF('Data Input'!P69&gt;0,1,0))&gt;=3,"YES","NO")),"")</f>
        <v/>
      </c>
      <c r="L55" s="87" t="str">
        <f ca="1">IFERROR(IF(OR('Data Input'!P69="",'Data Input'!N69=""),"",ABS('Data Input'!N69/IF('Data Input'!P69=0,0.001,'Data Input'!P69))),"")</f>
        <v/>
      </c>
      <c r="M55" s="17" t="str">
        <f t="shared" ca="1" si="3"/>
        <v/>
      </c>
      <c r="N55" s="88" t="str">
        <f ca="1">IFERROR(IF('Data Input'!M69="","",DEGREES(ATAN('Data Input'!M69*12/$B$22))),"")</f>
        <v/>
      </c>
      <c r="O55" s="17" t="str">
        <f t="shared" ca="1" si="4"/>
        <v/>
      </c>
      <c r="P55" s="42" t="str">
        <f ca="1">IFERROR(IF('Data Input'!P69="","",ABS('Data Input'!P69)*12),"")</f>
        <v/>
      </c>
      <c r="Q55" s="87" t="str">
        <f t="shared" ca="1" si="5"/>
        <v/>
      </c>
      <c r="R55" s="17" t="str">
        <f t="shared" ca="1" si="6"/>
        <v/>
      </c>
      <c r="S55" s="48">
        <f ca="1">IFERROR(IF('Data Input'!M69="",50,MIN(100,MAX(0,50+'Data Input'!M69*500))),50)</f>
        <v>50</v>
      </c>
      <c r="T55" s="27">
        <f ca="1">IFERROR(IF(OR('Data Input'!M69="",'Data Input'!N69=""),0,'Data Input'!M69-'Data Input'!N69),0)</f>
        <v>0</v>
      </c>
      <c r="U55" s="17" t="str">
        <f ca="1">IFERROR(IF('Data Input'!J69="","LOW",IF(ABS('Data Input'!J69)&gt;1.2,"HIGH",IF(ABS('Data Input'!J69)&gt;0.8,"MEDIUM","LOW"))),"LOW")</f>
        <v>LOW</v>
      </c>
      <c r="V55" s="43">
        <f t="shared" ca="1" si="7"/>
        <v>50</v>
      </c>
      <c r="W55" s="43">
        <f t="shared" ca="1" si="8"/>
        <v>50</v>
      </c>
      <c r="X55" s="43">
        <f t="shared" ca="1" si="9"/>
        <v>50</v>
      </c>
      <c r="Y55" s="43">
        <f t="shared" ca="1" si="10"/>
        <v>42</v>
      </c>
      <c r="Z55" s="43">
        <f t="shared" ca="1" si="11"/>
        <v>49</v>
      </c>
      <c r="AA55" s="17" t="str">
        <f t="shared" ca="1" si="12"/>
        <v>HOLD</v>
      </c>
      <c r="AB55" s="17" t="str">
        <f t="shared" ca="1" si="13"/>
        <v>P3 — MONITOR</v>
      </c>
    </row>
    <row r="56" spans="1:28" ht="15" customHeight="1" x14ac:dyDescent="0.3">
      <c r="A56" s="64" t="str">
        <f>'Data Input'!A70</f>
        <v>CTA</v>
      </c>
      <c r="B56" s="85" t="str">
        <f ca="1">'Data Input'!D70</f>
        <v/>
      </c>
      <c r="C56" s="86" t="str">
        <f ca="1">IFERROR(IF(B56="","",B56/(1+'Data Input'!M70)),"")</f>
        <v/>
      </c>
      <c r="D56" s="86" t="str">
        <f ca="1">IFERROR(IF(C56="","",C56+$B$7*C56*('Data Input'!H70/SQRT(252)*SQRT($B$6))),"")</f>
        <v/>
      </c>
      <c r="E56" s="86" t="str">
        <f ca="1">IFERROR(IF(C56="","",C56-$B$7*C56*('Data Input'!H70/SQRT(252)*SQRT($B$6))),"")</f>
        <v/>
      </c>
      <c r="F56" s="27" t="str">
        <f t="shared" ca="1" si="0"/>
        <v/>
      </c>
      <c r="G56" s="42">
        <f t="shared" ca="1" si="1"/>
        <v>0.5</v>
      </c>
      <c r="H56" s="17" t="str">
        <f t="shared" ca="1" si="2"/>
        <v>NEUTRAL</v>
      </c>
      <c r="I56" s="17" t="str">
        <f ca="1">IFERROR(IF(OR('Data Input'!P70="",'Data Input'!N70=""),"N/A",IF(AND('Data Input'!P70&gt;0,'Data Input'!N70&gt;0,'Data Input'!M70&gt;0),"IMPULSE (W3/5)",IF(AND('Data Input'!P70&gt;0,'Data Input'!N70&lt;0),"CORRECTIVE (W4)",IF(AND('Data Input'!P70&lt;0,'Data Input'!M70&gt;0),"WAVE 1 START",IF(AND('Data Input'!P70&lt;0,'Data Input'!M70&lt;0),"DECLINE (WC)","TRANSITION"))))),"N/A")</f>
        <v>N/A</v>
      </c>
      <c r="J56" s="17" t="str">
        <f ca="1">IF(I56="IMPULSE (W3/5)",IF('Data Input'!M70&gt;0.03,"W5","W3"),IF(I56="CORRECTIVE (W4)","W4",IF(I56="WAVE 1 START","W1",IF(I56="DECLINE (WC)","WC","—"))))</f>
        <v>—</v>
      </c>
      <c r="K56" s="17" t="str">
        <f ca="1">IFERROR(IF(OR('Data Input'!M70="",'Data Input'!N70=""),"",IF((IF('Data Input'!M70&gt;0,1,0)+IF('Data Input'!N70&gt;0,1,0)+IF('Data Input'!O70&gt;0,1,0)+IF('Data Input'!P70&gt;0,1,0))&gt;=3,"YES","NO")),"")</f>
        <v/>
      </c>
      <c r="L56" s="87" t="str">
        <f ca="1">IFERROR(IF(OR('Data Input'!P70="",'Data Input'!N70=""),"",ABS('Data Input'!N70/IF('Data Input'!P70=0,0.001,'Data Input'!P70))),"")</f>
        <v/>
      </c>
      <c r="M56" s="17" t="str">
        <f t="shared" ca="1" si="3"/>
        <v/>
      </c>
      <c r="N56" s="88" t="str">
        <f ca="1">IFERROR(IF('Data Input'!M70="","",DEGREES(ATAN('Data Input'!M70*12/$B$22))),"")</f>
        <v/>
      </c>
      <c r="O56" s="17" t="str">
        <f t="shared" ca="1" si="4"/>
        <v/>
      </c>
      <c r="P56" s="42" t="str">
        <f ca="1">IFERROR(IF('Data Input'!P70="","",ABS('Data Input'!P70)*12),"")</f>
        <v/>
      </c>
      <c r="Q56" s="87" t="str">
        <f t="shared" ca="1" si="5"/>
        <v/>
      </c>
      <c r="R56" s="17" t="str">
        <f t="shared" ca="1" si="6"/>
        <v/>
      </c>
      <c r="S56" s="48">
        <f ca="1">IFERROR(IF('Data Input'!M70="",50,MIN(100,MAX(0,50+'Data Input'!M70*500))),50)</f>
        <v>50</v>
      </c>
      <c r="T56" s="27">
        <f ca="1">IFERROR(IF(OR('Data Input'!M70="",'Data Input'!N70=""),0,'Data Input'!M70-'Data Input'!N70),0)</f>
        <v>0</v>
      </c>
      <c r="U56" s="17" t="str">
        <f ca="1">IFERROR(IF('Data Input'!J70="","LOW",IF(ABS('Data Input'!J70)&gt;1.2,"HIGH",IF(ABS('Data Input'!J70)&gt;0.8,"MEDIUM","LOW"))),"LOW")</f>
        <v>LOW</v>
      </c>
      <c r="V56" s="43">
        <f t="shared" ca="1" si="7"/>
        <v>50</v>
      </c>
      <c r="W56" s="43">
        <f t="shared" ca="1" si="8"/>
        <v>50</v>
      </c>
      <c r="X56" s="43">
        <f t="shared" ca="1" si="9"/>
        <v>50</v>
      </c>
      <c r="Y56" s="43">
        <f t="shared" ca="1" si="10"/>
        <v>42</v>
      </c>
      <c r="Z56" s="43">
        <f t="shared" ca="1" si="11"/>
        <v>49</v>
      </c>
      <c r="AA56" s="17" t="str">
        <f t="shared" ca="1" si="12"/>
        <v>HOLD</v>
      </c>
      <c r="AB56" s="17" t="str">
        <f t="shared" ca="1" si="13"/>
        <v>P3 — MONITOR</v>
      </c>
    </row>
    <row r="57" spans="1:28" ht="15" customHeight="1" x14ac:dyDescent="0.3">
      <c r="A57" s="64" t="str">
        <f>'Data Input'!A71</f>
        <v>KMLM</v>
      </c>
      <c r="B57" s="85" t="str">
        <f ca="1">'Data Input'!D71</f>
        <v/>
      </c>
      <c r="C57" s="86" t="str">
        <f ca="1">IFERROR(IF(B57="","",B57/(1+'Data Input'!M71)),"")</f>
        <v/>
      </c>
      <c r="D57" s="86" t="str">
        <f ca="1">IFERROR(IF(C57="","",C57+$B$7*C57*('Data Input'!H71/SQRT(252)*SQRT($B$6))),"")</f>
        <v/>
      </c>
      <c r="E57" s="86" t="str">
        <f ca="1">IFERROR(IF(C57="","",C57-$B$7*C57*('Data Input'!H71/SQRT(252)*SQRT($B$6))),"")</f>
        <v/>
      </c>
      <c r="F57" s="27" t="str">
        <f t="shared" ca="1" si="0"/>
        <v/>
      </c>
      <c r="G57" s="42">
        <f t="shared" ca="1" si="1"/>
        <v>0.5</v>
      </c>
      <c r="H57" s="17" t="str">
        <f t="shared" ca="1" si="2"/>
        <v>NEUTRAL</v>
      </c>
      <c r="I57" s="17" t="str">
        <f ca="1">IFERROR(IF(OR('Data Input'!P71="",'Data Input'!N71=""),"N/A",IF(AND('Data Input'!P71&gt;0,'Data Input'!N71&gt;0,'Data Input'!M71&gt;0),"IMPULSE (W3/5)",IF(AND('Data Input'!P71&gt;0,'Data Input'!N71&lt;0),"CORRECTIVE (W4)",IF(AND('Data Input'!P71&lt;0,'Data Input'!M71&gt;0),"WAVE 1 START",IF(AND('Data Input'!P71&lt;0,'Data Input'!M71&lt;0),"DECLINE (WC)","TRANSITION"))))),"N/A")</f>
        <v>N/A</v>
      </c>
      <c r="J57" s="17" t="str">
        <f ca="1">IF(I57="IMPULSE (W3/5)",IF('Data Input'!M71&gt;0.03,"W5","W3"),IF(I57="CORRECTIVE (W4)","W4",IF(I57="WAVE 1 START","W1",IF(I57="DECLINE (WC)","WC","—"))))</f>
        <v>—</v>
      </c>
      <c r="K57" s="17" t="str">
        <f ca="1">IFERROR(IF(OR('Data Input'!M71="",'Data Input'!N71=""),"",IF((IF('Data Input'!M71&gt;0,1,0)+IF('Data Input'!N71&gt;0,1,0)+IF('Data Input'!O71&gt;0,1,0)+IF('Data Input'!P71&gt;0,1,0))&gt;=3,"YES","NO")),"")</f>
        <v/>
      </c>
      <c r="L57" s="87" t="str">
        <f ca="1">IFERROR(IF(OR('Data Input'!P71="",'Data Input'!N71=""),"",ABS('Data Input'!N71/IF('Data Input'!P71=0,0.001,'Data Input'!P71))),"")</f>
        <v/>
      </c>
      <c r="M57" s="17" t="str">
        <f t="shared" ca="1" si="3"/>
        <v/>
      </c>
      <c r="N57" s="88" t="str">
        <f ca="1">IFERROR(IF('Data Input'!M71="","",DEGREES(ATAN('Data Input'!M71*12/$B$22))),"")</f>
        <v/>
      </c>
      <c r="O57" s="17" t="str">
        <f t="shared" ca="1" si="4"/>
        <v/>
      </c>
      <c r="P57" s="42" t="str">
        <f ca="1">IFERROR(IF('Data Input'!P71="","",ABS('Data Input'!P71)*12),"")</f>
        <v/>
      </c>
      <c r="Q57" s="87" t="str">
        <f t="shared" ca="1" si="5"/>
        <v/>
      </c>
      <c r="R57" s="17" t="str">
        <f t="shared" ca="1" si="6"/>
        <v/>
      </c>
      <c r="S57" s="48">
        <f ca="1">IFERROR(IF('Data Input'!M71="",50,MIN(100,MAX(0,50+'Data Input'!M71*500))),50)</f>
        <v>50</v>
      </c>
      <c r="T57" s="27">
        <f ca="1">IFERROR(IF(OR('Data Input'!M71="",'Data Input'!N71=""),0,'Data Input'!M71-'Data Input'!N71),0)</f>
        <v>0</v>
      </c>
      <c r="U57" s="17" t="str">
        <f ca="1">IFERROR(IF('Data Input'!J71="","LOW",IF(ABS('Data Input'!J71)&gt;1.2,"HIGH",IF(ABS('Data Input'!J71)&gt;0.8,"MEDIUM","LOW"))),"LOW")</f>
        <v>LOW</v>
      </c>
      <c r="V57" s="43">
        <f t="shared" ca="1" si="7"/>
        <v>50</v>
      </c>
      <c r="W57" s="43">
        <f t="shared" ca="1" si="8"/>
        <v>50</v>
      </c>
      <c r="X57" s="43">
        <f t="shared" ca="1" si="9"/>
        <v>50</v>
      </c>
      <c r="Y57" s="43">
        <f t="shared" ca="1" si="10"/>
        <v>42</v>
      </c>
      <c r="Z57" s="43">
        <f t="shared" ca="1" si="11"/>
        <v>49</v>
      </c>
      <c r="AA57" s="17" t="str">
        <f t="shared" ca="1" si="12"/>
        <v>HOLD</v>
      </c>
      <c r="AB57" s="17" t="str">
        <f t="shared" ca="1" si="13"/>
        <v>P3 — MONITOR</v>
      </c>
    </row>
    <row r="58" spans="1:28" ht="15" customHeight="1" x14ac:dyDescent="0.3">
      <c r="A58" s="64" t="str">
        <f>'Data Input'!A72</f>
        <v>BTAL</v>
      </c>
      <c r="B58" s="85" t="str">
        <f ca="1">'Data Input'!D72</f>
        <v/>
      </c>
      <c r="C58" s="86" t="str">
        <f ca="1">IFERROR(IF(B58="","",B58/(1+'Data Input'!M72)),"")</f>
        <v/>
      </c>
      <c r="D58" s="86" t="str">
        <f ca="1">IFERROR(IF(C58="","",C58+$B$7*C58*('Data Input'!H72/SQRT(252)*SQRT($B$6))),"")</f>
        <v/>
      </c>
      <c r="E58" s="86" t="str">
        <f ca="1">IFERROR(IF(C58="","",C58-$B$7*C58*('Data Input'!H72/SQRT(252)*SQRT($B$6))),"")</f>
        <v/>
      </c>
      <c r="F58" s="27" t="str">
        <f t="shared" ca="1" si="0"/>
        <v/>
      </c>
      <c r="G58" s="42">
        <f t="shared" ca="1" si="1"/>
        <v>0.5</v>
      </c>
      <c r="H58" s="17" t="str">
        <f t="shared" ca="1" si="2"/>
        <v>NEUTRAL</v>
      </c>
      <c r="I58" s="17" t="str">
        <f ca="1">IFERROR(IF(OR('Data Input'!P72="",'Data Input'!N72=""),"N/A",IF(AND('Data Input'!P72&gt;0,'Data Input'!N72&gt;0,'Data Input'!M72&gt;0),"IMPULSE (W3/5)",IF(AND('Data Input'!P72&gt;0,'Data Input'!N72&lt;0),"CORRECTIVE (W4)",IF(AND('Data Input'!P72&lt;0,'Data Input'!M72&gt;0),"WAVE 1 START",IF(AND('Data Input'!P72&lt;0,'Data Input'!M72&lt;0),"DECLINE (WC)","TRANSITION"))))),"N/A")</f>
        <v>N/A</v>
      </c>
      <c r="J58" s="17" t="str">
        <f ca="1">IF(I58="IMPULSE (W3/5)",IF('Data Input'!M72&gt;0.03,"W5","W3"),IF(I58="CORRECTIVE (W4)","W4",IF(I58="WAVE 1 START","W1",IF(I58="DECLINE (WC)","WC","—"))))</f>
        <v>—</v>
      </c>
      <c r="K58" s="17" t="str">
        <f ca="1">IFERROR(IF(OR('Data Input'!M72="",'Data Input'!N72=""),"",IF((IF('Data Input'!M72&gt;0,1,0)+IF('Data Input'!N72&gt;0,1,0)+IF('Data Input'!O72&gt;0,1,0)+IF('Data Input'!P72&gt;0,1,0))&gt;=3,"YES","NO")),"")</f>
        <v/>
      </c>
      <c r="L58" s="87" t="str">
        <f ca="1">IFERROR(IF(OR('Data Input'!P72="",'Data Input'!N72=""),"",ABS('Data Input'!N72/IF('Data Input'!P72=0,0.001,'Data Input'!P72))),"")</f>
        <v/>
      </c>
      <c r="M58" s="17" t="str">
        <f t="shared" ca="1" si="3"/>
        <v/>
      </c>
      <c r="N58" s="88" t="str">
        <f ca="1">IFERROR(IF('Data Input'!M72="","",DEGREES(ATAN('Data Input'!M72*12/$B$22))),"")</f>
        <v/>
      </c>
      <c r="O58" s="17" t="str">
        <f t="shared" ca="1" si="4"/>
        <v/>
      </c>
      <c r="P58" s="42" t="str">
        <f ca="1">IFERROR(IF('Data Input'!P72="","",ABS('Data Input'!P72)*12),"")</f>
        <v/>
      </c>
      <c r="Q58" s="87" t="str">
        <f t="shared" ca="1" si="5"/>
        <v/>
      </c>
      <c r="R58" s="17" t="str">
        <f t="shared" ca="1" si="6"/>
        <v/>
      </c>
      <c r="S58" s="48">
        <f ca="1">IFERROR(IF('Data Input'!M72="",50,MIN(100,MAX(0,50+'Data Input'!M72*500))),50)</f>
        <v>50</v>
      </c>
      <c r="T58" s="27">
        <f ca="1">IFERROR(IF(OR('Data Input'!M72="",'Data Input'!N72=""),0,'Data Input'!M72-'Data Input'!N72),0)</f>
        <v>0</v>
      </c>
      <c r="U58" s="17" t="str">
        <f ca="1">IFERROR(IF('Data Input'!J72="","LOW",IF(ABS('Data Input'!J72)&gt;1.2,"HIGH",IF(ABS('Data Input'!J72)&gt;0.8,"MEDIUM","LOW"))),"LOW")</f>
        <v>LOW</v>
      </c>
      <c r="V58" s="43">
        <f t="shared" ca="1" si="7"/>
        <v>50</v>
      </c>
      <c r="W58" s="43">
        <f t="shared" ca="1" si="8"/>
        <v>50</v>
      </c>
      <c r="X58" s="43">
        <f t="shared" ca="1" si="9"/>
        <v>50</v>
      </c>
      <c r="Y58" s="43">
        <f t="shared" ca="1" si="10"/>
        <v>42</v>
      </c>
      <c r="Z58" s="43">
        <f t="shared" ca="1" si="11"/>
        <v>49</v>
      </c>
      <c r="AA58" s="17" t="str">
        <f t="shared" ca="1" si="12"/>
        <v>HOLD</v>
      </c>
      <c r="AB58" s="17" t="str">
        <f t="shared" ca="1" si="13"/>
        <v>P3 — MONITOR</v>
      </c>
    </row>
    <row r="59" spans="1:28" ht="15" customHeight="1" x14ac:dyDescent="0.3">
      <c r="A59" s="64" t="str">
        <f>'Data Input'!A73</f>
        <v>TAIL</v>
      </c>
      <c r="B59" s="85" t="str">
        <f ca="1">'Data Input'!D73</f>
        <v/>
      </c>
      <c r="C59" s="86" t="str">
        <f ca="1">IFERROR(IF(B59="","",B59/(1+'Data Input'!M73)),"")</f>
        <v/>
      </c>
      <c r="D59" s="86" t="str">
        <f ca="1">IFERROR(IF(C59="","",C59+$B$7*C59*('Data Input'!H73/SQRT(252)*SQRT($B$6))),"")</f>
        <v/>
      </c>
      <c r="E59" s="86" t="str">
        <f ca="1">IFERROR(IF(C59="","",C59-$B$7*C59*('Data Input'!H73/SQRT(252)*SQRT($B$6))),"")</f>
        <v/>
      </c>
      <c r="F59" s="27" t="str">
        <f t="shared" ca="1" si="0"/>
        <v/>
      </c>
      <c r="G59" s="42">
        <f t="shared" ca="1" si="1"/>
        <v>0.5</v>
      </c>
      <c r="H59" s="17" t="str">
        <f t="shared" ca="1" si="2"/>
        <v>NEUTRAL</v>
      </c>
      <c r="I59" s="17" t="str">
        <f ca="1">IFERROR(IF(OR('Data Input'!P73="",'Data Input'!N73=""),"N/A",IF(AND('Data Input'!P73&gt;0,'Data Input'!N73&gt;0,'Data Input'!M73&gt;0),"IMPULSE (W3/5)",IF(AND('Data Input'!P73&gt;0,'Data Input'!N73&lt;0),"CORRECTIVE (W4)",IF(AND('Data Input'!P73&lt;0,'Data Input'!M73&gt;0),"WAVE 1 START",IF(AND('Data Input'!P73&lt;0,'Data Input'!M73&lt;0),"DECLINE (WC)","TRANSITION"))))),"N/A")</f>
        <v>N/A</v>
      </c>
      <c r="J59" s="17" t="str">
        <f ca="1">IF(I59="IMPULSE (W3/5)",IF('Data Input'!M73&gt;0.03,"W5","W3"),IF(I59="CORRECTIVE (W4)","W4",IF(I59="WAVE 1 START","W1",IF(I59="DECLINE (WC)","WC","—"))))</f>
        <v>—</v>
      </c>
      <c r="K59" s="17" t="str">
        <f ca="1">IFERROR(IF(OR('Data Input'!M73="",'Data Input'!N73=""),"",IF((IF('Data Input'!M73&gt;0,1,0)+IF('Data Input'!N73&gt;0,1,0)+IF('Data Input'!O73&gt;0,1,0)+IF('Data Input'!P73&gt;0,1,0))&gt;=3,"YES","NO")),"")</f>
        <v/>
      </c>
      <c r="L59" s="87" t="str">
        <f ca="1">IFERROR(IF(OR('Data Input'!P73="",'Data Input'!N73=""),"",ABS('Data Input'!N73/IF('Data Input'!P73=0,0.001,'Data Input'!P73))),"")</f>
        <v/>
      </c>
      <c r="M59" s="17" t="str">
        <f t="shared" ca="1" si="3"/>
        <v/>
      </c>
      <c r="N59" s="88" t="str">
        <f ca="1">IFERROR(IF('Data Input'!M73="","",DEGREES(ATAN('Data Input'!M73*12/$B$22))),"")</f>
        <v/>
      </c>
      <c r="O59" s="17" t="str">
        <f t="shared" ca="1" si="4"/>
        <v/>
      </c>
      <c r="P59" s="42" t="str">
        <f ca="1">IFERROR(IF('Data Input'!P73="","",ABS('Data Input'!P73)*12),"")</f>
        <v/>
      </c>
      <c r="Q59" s="87" t="str">
        <f t="shared" ca="1" si="5"/>
        <v/>
      </c>
      <c r="R59" s="17" t="str">
        <f t="shared" ca="1" si="6"/>
        <v/>
      </c>
      <c r="S59" s="48">
        <f ca="1">IFERROR(IF('Data Input'!M73="",50,MIN(100,MAX(0,50+'Data Input'!M73*500))),50)</f>
        <v>50</v>
      </c>
      <c r="T59" s="27">
        <f ca="1">IFERROR(IF(OR('Data Input'!M73="",'Data Input'!N73=""),0,'Data Input'!M73-'Data Input'!N73),0)</f>
        <v>0</v>
      </c>
      <c r="U59" s="17" t="str">
        <f ca="1">IFERROR(IF('Data Input'!J73="","LOW",IF(ABS('Data Input'!J73)&gt;1.2,"HIGH",IF(ABS('Data Input'!J73)&gt;0.8,"MEDIUM","LOW"))),"LOW")</f>
        <v>LOW</v>
      </c>
      <c r="V59" s="43">
        <f t="shared" ca="1" si="7"/>
        <v>50</v>
      </c>
      <c r="W59" s="43">
        <f t="shared" ca="1" si="8"/>
        <v>50</v>
      </c>
      <c r="X59" s="43">
        <f t="shared" ca="1" si="9"/>
        <v>50</v>
      </c>
      <c r="Y59" s="43">
        <f t="shared" ca="1" si="10"/>
        <v>42</v>
      </c>
      <c r="Z59" s="43">
        <f t="shared" ca="1" si="11"/>
        <v>49</v>
      </c>
      <c r="AA59" s="17" t="str">
        <f t="shared" ca="1" si="12"/>
        <v>HOLD</v>
      </c>
      <c r="AB59" s="17" t="str">
        <f t="shared" ca="1" si="13"/>
        <v>P3 — MONITOR</v>
      </c>
    </row>
    <row r="60" spans="1:28" ht="15" customHeight="1" x14ac:dyDescent="0.3">
      <c r="A60" s="64" t="str">
        <f>'Data Input'!A74</f>
        <v>AAPL</v>
      </c>
      <c r="B60" s="85" t="str">
        <f ca="1">'Data Input'!D74</f>
        <v/>
      </c>
      <c r="C60" s="86" t="str">
        <f ca="1">IFERROR(IF(B60="","",B60/(1+'Data Input'!M74)),"")</f>
        <v/>
      </c>
      <c r="D60" s="86" t="str">
        <f ca="1">IFERROR(IF(C60="","",C60+$B$7*C60*('Data Input'!H74/SQRT(252)*SQRT($B$6))),"")</f>
        <v/>
      </c>
      <c r="E60" s="86" t="str">
        <f ca="1">IFERROR(IF(C60="","",C60-$B$7*C60*('Data Input'!H74/SQRT(252)*SQRT($B$6))),"")</f>
        <v/>
      </c>
      <c r="F60" s="27" t="str">
        <f t="shared" ca="1" si="0"/>
        <v/>
      </c>
      <c r="G60" s="42">
        <f t="shared" ca="1" si="1"/>
        <v>0.5</v>
      </c>
      <c r="H60" s="17" t="str">
        <f t="shared" ca="1" si="2"/>
        <v>NEUTRAL</v>
      </c>
      <c r="I60" s="17" t="str">
        <f ca="1">IFERROR(IF(OR('Data Input'!P74="",'Data Input'!N74=""),"N/A",IF(AND('Data Input'!P74&gt;0,'Data Input'!N74&gt;0,'Data Input'!M74&gt;0),"IMPULSE (W3/5)",IF(AND('Data Input'!P74&gt;0,'Data Input'!N74&lt;0),"CORRECTIVE (W4)",IF(AND('Data Input'!P74&lt;0,'Data Input'!M74&gt;0),"WAVE 1 START",IF(AND('Data Input'!P74&lt;0,'Data Input'!M74&lt;0),"DECLINE (WC)","TRANSITION"))))),"N/A")</f>
        <v>N/A</v>
      </c>
      <c r="J60" s="17" t="str">
        <f ca="1">IF(I60="IMPULSE (W3/5)",IF('Data Input'!M74&gt;0.03,"W5","W3"),IF(I60="CORRECTIVE (W4)","W4",IF(I60="WAVE 1 START","W1",IF(I60="DECLINE (WC)","WC","—"))))</f>
        <v>—</v>
      </c>
      <c r="K60" s="17" t="str">
        <f ca="1">IFERROR(IF(OR('Data Input'!M74="",'Data Input'!N74=""),"",IF((IF('Data Input'!M74&gt;0,1,0)+IF('Data Input'!N74&gt;0,1,0)+IF('Data Input'!O74&gt;0,1,0)+IF('Data Input'!P74&gt;0,1,0))&gt;=3,"YES","NO")),"")</f>
        <v/>
      </c>
      <c r="L60" s="87" t="str">
        <f ca="1">IFERROR(IF(OR('Data Input'!P74="",'Data Input'!N74=""),"",ABS('Data Input'!N74/IF('Data Input'!P74=0,0.001,'Data Input'!P74))),"")</f>
        <v/>
      </c>
      <c r="M60" s="17" t="str">
        <f t="shared" ca="1" si="3"/>
        <v/>
      </c>
      <c r="N60" s="88" t="str">
        <f ca="1">IFERROR(IF('Data Input'!M74="","",DEGREES(ATAN('Data Input'!M74*12/$B$22))),"")</f>
        <v/>
      </c>
      <c r="O60" s="17" t="str">
        <f t="shared" ca="1" si="4"/>
        <v/>
      </c>
      <c r="P60" s="42" t="str">
        <f ca="1">IFERROR(IF('Data Input'!P74="","",ABS('Data Input'!P74)*12),"")</f>
        <v/>
      </c>
      <c r="Q60" s="87" t="str">
        <f t="shared" ca="1" si="5"/>
        <v/>
      </c>
      <c r="R60" s="17" t="str">
        <f t="shared" ca="1" si="6"/>
        <v/>
      </c>
      <c r="S60" s="48">
        <f ca="1">IFERROR(IF('Data Input'!M74="",50,MIN(100,MAX(0,50+'Data Input'!M74*500))),50)</f>
        <v>50</v>
      </c>
      <c r="T60" s="27">
        <f ca="1">IFERROR(IF(OR('Data Input'!M74="",'Data Input'!N74=""),0,'Data Input'!M74-'Data Input'!N74),0)</f>
        <v>0</v>
      </c>
      <c r="U60" s="17" t="str">
        <f ca="1">IFERROR(IF('Data Input'!J74="","LOW",IF(ABS('Data Input'!J74)&gt;1.2,"HIGH",IF(ABS('Data Input'!J74)&gt;0.8,"MEDIUM","LOW"))),"LOW")</f>
        <v>LOW</v>
      </c>
      <c r="V60" s="43">
        <f t="shared" ca="1" si="7"/>
        <v>50</v>
      </c>
      <c r="W60" s="43">
        <f t="shared" ca="1" si="8"/>
        <v>50</v>
      </c>
      <c r="X60" s="43">
        <f t="shared" ca="1" si="9"/>
        <v>50</v>
      </c>
      <c r="Y60" s="43">
        <f t="shared" ca="1" si="10"/>
        <v>42</v>
      </c>
      <c r="Z60" s="43">
        <f t="shared" ca="1" si="11"/>
        <v>49</v>
      </c>
      <c r="AA60" s="17" t="str">
        <f t="shared" ca="1" si="12"/>
        <v>HOLD</v>
      </c>
      <c r="AB60" s="17" t="str">
        <f t="shared" ca="1" si="13"/>
        <v>P3 — MONITOR</v>
      </c>
    </row>
    <row r="61" spans="1:28" ht="15" customHeight="1" x14ac:dyDescent="0.3">
      <c r="A61" s="64" t="str">
        <f>'Data Input'!A75</f>
        <v>MSFT</v>
      </c>
      <c r="B61" s="85" t="str">
        <f ca="1">'Data Input'!D75</f>
        <v/>
      </c>
      <c r="C61" s="86" t="str">
        <f ca="1">IFERROR(IF(B61="","",B61/(1+'Data Input'!M75)),"")</f>
        <v/>
      </c>
      <c r="D61" s="86" t="str">
        <f ca="1">IFERROR(IF(C61="","",C61+$B$7*C61*('Data Input'!H75/SQRT(252)*SQRT($B$6))),"")</f>
        <v/>
      </c>
      <c r="E61" s="86" t="str">
        <f ca="1">IFERROR(IF(C61="","",C61-$B$7*C61*('Data Input'!H75/SQRT(252)*SQRT($B$6))),"")</f>
        <v/>
      </c>
      <c r="F61" s="27" t="str">
        <f t="shared" ca="1" si="0"/>
        <v/>
      </c>
      <c r="G61" s="42">
        <f t="shared" ca="1" si="1"/>
        <v>0.5</v>
      </c>
      <c r="H61" s="17" t="str">
        <f t="shared" ca="1" si="2"/>
        <v>NEUTRAL</v>
      </c>
      <c r="I61" s="17" t="str">
        <f ca="1">IFERROR(IF(OR('Data Input'!P75="",'Data Input'!N75=""),"N/A",IF(AND('Data Input'!P75&gt;0,'Data Input'!N75&gt;0,'Data Input'!M75&gt;0),"IMPULSE (W3/5)",IF(AND('Data Input'!P75&gt;0,'Data Input'!N75&lt;0),"CORRECTIVE (W4)",IF(AND('Data Input'!P75&lt;0,'Data Input'!M75&gt;0),"WAVE 1 START",IF(AND('Data Input'!P75&lt;0,'Data Input'!M75&lt;0),"DECLINE (WC)","TRANSITION"))))),"N/A")</f>
        <v>N/A</v>
      </c>
      <c r="J61" s="17" t="str">
        <f ca="1">IF(I61="IMPULSE (W3/5)",IF('Data Input'!M75&gt;0.03,"W5","W3"),IF(I61="CORRECTIVE (W4)","W4",IF(I61="WAVE 1 START","W1",IF(I61="DECLINE (WC)","WC","—"))))</f>
        <v>—</v>
      </c>
      <c r="K61" s="17" t="str">
        <f ca="1">IFERROR(IF(OR('Data Input'!M75="",'Data Input'!N75=""),"",IF((IF('Data Input'!M75&gt;0,1,0)+IF('Data Input'!N75&gt;0,1,0)+IF('Data Input'!O75&gt;0,1,0)+IF('Data Input'!P75&gt;0,1,0))&gt;=3,"YES","NO")),"")</f>
        <v/>
      </c>
      <c r="L61" s="87" t="str">
        <f ca="1">IFERROR(IF(OR('Data Input'!P75="",'Data Input'!N75=""),"",ABS('Data Input'!N75/IF('Data Input'!P75=0,0.001,'Data Input'!P75))),"")</f>
        <v/>
      </c>
      <c r="M61" s="17" t="str">
        <f t="shared" ca="1" si="3"/>
        <v/>
      </c>
      <c r="N61" s="88" t="str">
        <f ca="1">IFERROR(IF('Data Input'!M75="","",DEGREES(ATAN('Data Input'!M75*12/$B$22))),"")</f>
        <v/>
      </c>
      <c r="O61" s="17" t="str">
        <f t="shared" ca="1" si="4"/>
        <v/>
      </c>
      <c r="P61" s="42" t="str">
        <f ca="1">IFERROR(IF('Data Input'!P75="","",ABS('Data Input'!P75)*12),"")</f>
        <v/>
      </c>
      <c r="Q61" s="87" t="str">
        <f t="shared" ca="1" si="5"/>
        <v/>
      </c>
      <c r="R61" s="17" t="str">
        <f t="shared" ca="1" si="6"/>
        <v/>
      </c>
      <c r="S61" s="48">
        <f ca="1">IFERROR(IF('Data Input'!M75="",50,MIN(100,MAX(0,50+'Data Input'!M75*500))),50)</f>
        <v>50</v>
      </c>
      <c r="T61" s="27">
        <f ca="1">IFERROR(IF(OR('Data Input'!M75="",'Data Input'!N75=""),0,'Data Input'!M75-'Data Input'!N75),0)</f>
        <v>0</v>
      </c>
      <c r="U61" s="17" t="str">
        <f ca="1">IFERROR(IF('Data Input'!J75="","LOW",IF(ABS('Data Input'!J75)&gt;1.2,"HIGH",IF(ABS('Data Input'!J75)&gt;0.8,"MEDIUM","LOW"))),"LOW")</f>
        <v>LOW</v>
      </c>
      <c r="V61" s="43">
        <f t="shared" ca="1" si="7"/>
        <v>50</v>
      </c>
      <c r="W61" s="43">
        <f t="shared" ca="1" si="8"/>
        <v>50</v>
      </c>
      <c r="X61" s="43">
        <f t="shared" ca="1" si="9"/>
        <v>50</v>
      </c>
      <c r="Y61" s="43">
        <f t="shared" ca="1" si="10"/>
        <v>42</v>
      </c>
      <c r="Z61" s="43">
        <f t="shared" ca="1" si="11"/>
        <v>49</v>
      </c>
      <c r="AA61" s="17" t="str">
        <f t="shared" ca="1" si="12"/>
        <v>HOLD</v>
      </c>
      <c r="AB61" s="17" t="str">
        <f t="shared" ca="1" si="13"/>
        <v>P3 — MONITOR</v>
      </c>
    </row>
    <row r="62" spans="1:28" ht="15" customHeight="1" x14ac:dyDescent="0.3">
      <c r="A62" s="64" t="str">
        <f>'Data Input'!A76</f>
        <v>NVDA</v>
      </c>
      <c r="B62" s="85" t="str">
        <f ca="1">'Data Input'!D76</f>
        <v/>
      </c>
      <c r="C62" s="86" t="str">
        <f ca="1">IFERROR(IF(B62="","",B62/(1+'Data Input'!M76)),"")</f>
        <v/>
      </c>
      <c r="D62" s="86" t="str">
        <f ca="1">IFERROR(IF(C62="","",C62+$B$7*C62*('Data Input'!H76/SQRT(252)*SQRT($B$6))),"")</f>
        <v/>
      </c>
      <c r="E62" s="86" t="str">
        <f ca="1">IFERROR(IF(C62="","",C62-$B$7*C62*('Data Input'!H76/SQRT(252)*SQRT($B$6))),"")</f>
        <v/>
      </c>
      <c r="F62" s="27" t="str">
        <f t="shared" ca="1" si="0"/>
        <v/>
      </c>
      <c r="G62" s="42">
        <f t="shared" ca="1" si="1"/>
        <v>0.5</v>
      </c>
      <c r="H62" s="17" t="str">
        <f t="shared" ca="1" si="2"/>
        <v>NEUTRAL</v>
      </c>
      <c r="I62" s="17" t="str">
        <f ca="1">IFERROR(IF(OR('Data Input'!P76="",'Data Input'!N76=""),"N/A",IF(AND('Data Input'!P76&gt;0,'Data Input'!N76&gt;0,'Data Input'!M76&gt;0),"IMPULSE (W3/5)",IF(AND('Data Input'!P76&gt;0,'Data Input'!N76&lt;0),"CORRECTIVE (W4)",IF(AND('Data Input'!P76&lt;0,'Data Input'!M76&gt;0),"WAVE 1 START",IF(AND('Data Input'!P76&lt;0,'Data Input'!M76&lt;0),"DECLINE (WC)","TRANSITION"))))),"N/A")</f>
        <v>N/A</v>
      </c>
      <c r="J62" s="17" t="str">
        <f ca="1">IF(I62="IMPULSE (W3/5)",IF('Data Input'!M76&gt;0.03,"W5","W3"),IF(I62="CORRECTIVE (W4)","W4",IF(I62="WAVE 1 START","W1",IF(I62="DECLINE (WC)","WC","—"))))</f>
        <v>—</v>
      </c>
      <c r="K62" s="17" t="str">
        <f ca="1">IFERROR(IF(OR('Data Input'!M76="",'Data Input'!N76=""),"",IF((IF('Data Input'!M76&gt;0,1,0)+IF('Data Input'!N76&gt;0,1,0)+IF('Data Input'!O76&gt;0,1,0)+IF('Data Input'!P76&gt;0,1,0))&gt;=3,"YES","NO")),"")</f>
        <v/>
      </c>
      <c r="L62" s="87" t="str">
        <f ca="1">IFERROR(IF(OR('Data Input'!P76="",'Data Input'!N76=""),"",ABS('Data Input'!N76/IF('Data Input'!P76=0,0.001,'Data Input'!P76))),"")</f>
        <v/>
      </c>
      <c r="M62" s="17" t="str">
        <f t="shared" ca="1" si="3"/>
        <v/>
      </c>
      <c r="N62" s="88" t="str">
        <f ca="1">IFERROR(IF('Data Input'!M76="","",DEGREES(ATAN('Data Input'!M76*12/$B$22))),"")</f>
        <v/>
      </c>
      <c r="O62" s="17" t="str">
        <f t="shared" ca="1" si="4"/>
        <v/>
      </c>
      <c r="P62" s="42" t="str">
        <f ca="1">IFERROR(IF('Data Input'!P76="","",ABS('Data Input'!P76)*12),"")</f>
        <v/>
      </c>
      <c r="Q62" s="87" t="str">
        <f t="shared" ca="1" si="5"/>
        <v/>
      </c>
      <c r="R62" s="17" t="str">
        <f t="shared" ca="1" si="6"/>
        <v/>
      </c>
      <c r="S62" s="48">
        <f ca="1">IFERROR(IF('Data Input'!M76="",50,MIN(100,MAX(0,50+'Data Input'!M76*500))),50)</f>
        <v>50</v>
      </c>
      <c r="T62" s="27">
        <f ca="1">IFERROR(IF(OR('Data Input'!M76="",'Data Input'!N76=""),0,'Data Input'!M76-'Data Input'!N76),0)</f>
        <v>0</v>
      </c>
      <c r="U62" s="17" t="str">
        <f ca="1">IFERROR(IF('Data Input'!J76="","LOW",IF(ABS('Data Input'!J76)&gt;1.2,"HIGH",IF(ABS('Data Input'!J76)&gt;0.8,"MEDIUM","LOW"))),"LOW")</f>
        <v>LOW</v>
      </c>
      <c r="V62" s="43">
        <f t="shared" ca="1" si="7"/>
        <v>50</v>
      </c>
      <c r="W62" s="43">
        <f t="shared" ca="1" si="8"/>
        <v>50</v>
      </c>
      <c r="X62" s="43">
        <f t="shared" ca="1" si="9"/>
        <v>50</v>
      </c>
      <c r="Y62" s="43">
        <f t="shared" ca="1" si="10"/>
        <v>42</v>
      </c>
      <c r="Z62" s="43">
        <f t="shared" ca="1" si="11"/>
        <v>49</v>
      </c>
      <c r="AA62" s="17" t="str">
        <f t="shared" ca="1" si="12"/>
        <v>HOLD</v>
      </c>
      <c r="AB62" s="17" t="str">
        <f t="shared" ca="1" si="13"/>
        <v>P3 — MONITOR</v>
      </c>
    </row>
    <row r="63" spans="1:28" ht="15" customHeight="1" x14ac:dyDescent="0.3">
      <c r="A63" s="64" t="str">
        <f>'Data Input'!A77</f>
        <v>JPM</v>
      </c>
      <c r="B63" s="85" t="str">
        <f ca="1">'Data Input'!D77</f>
        <v/>
      </c>
      <c r="C63" s="86" t="str">
        <f ca="1">IFERROR(IF(B63="","",B63/(1+'Data Input'!M77)),"")</f>
        <v/>
      </c>
      <c r="D63" s="86" t="str">
        <f ca="1">IFERROR(IF(C63="","",C63+$B$7*C63*('Data Input'!H77/SQRT(252)*SQRT($B$6))),"")</f>
        <v/>
      </c>
      <c r="E63" s="86" t="str">
        <f ca="1">IFERROR(IF(C63="","",C63-$B$7*C63*('Data Input'!H77/SQRT(252)*SQRT($B$6))),"")</f>
        <v/>
      </c>
      <c r="F63" s="27" t="str">
        <f t="shared" ca="1" si="0"/>
        <v/>
      </c>
      <c r="G63" s="42">
        <f t="shared" ca="1" si="1"/>
        <v>0.5</v>
      </c>
      <c r="H63" s="17" t="str">
        <f t="shared" ca="1" si="2"/>
        <v>NEUTRAL</v>
      </c>
      <c r="I63" s="17" t="str">
        <f ca="1">IFERROR(IF(OR('Data Input'!P77="",'Data Input'!N77=""),"N/A",IF(AND('Data Input'!P77&gt;0,'Data Input'!N77&gt;0,'Data Input'!M77&gt;0),"IMPULSE (W3/5)",IF(AND('Data Input'!P77&gt;0,'Data Input'!N77&lt;0),"CORRECTIVE (W4)",IF(AND('Data Input'!P77&lt;0,'Data Input'!M77&gt;0),"WAVE 1 START",IF(AND('Data Input'!P77&lt;0,'Data Input'!M77&lt;0),"DECLINE (WC)","TRANSITION"))))),"N/A")</f>
        <v>N/A</v>
      </c>
      <c r="J63" s="17" t="str">
        <f ca="1">IF(I63="IMPULSE (W3/5)",IF('Data Input'!M77&gt;0.03,"W5","W3"),IF(I63="CORRECTIVE (W4)","W4",IF(I63="WAVE 1 START","W1",IF(I63="DECLINE (WC)","WC","—"))))</f>
        <v>—</v>
      </c>
      <c r="K63" s="17" t="str">
        <f ca="1">IFERROR(IF(OR('Data Input'!M77="",'Data Input'!N77=""),"",IF((IF('Data Input'!M77&gt;0,1,0)+IF('Data Input'!N77&gt;0,1,0)+IF('Data Input'!O77&gt;0,1,0)+IF('Data Input'!P77&gt;0,1,0))&gt;=3,"YES","NO")),"")</f>
        <v/>
      </c>
      <c r="L63" s="87" t="str">
        <f ca="1">IFERROR(IF(OR('Data Input'!P77="",'Data Input'!N77=""),"",ABS('Data Input'!N77/IF('Data Input'!P77=0,0.001,'Data Input'!P77))),"")</f>
        <v/>
      </c>
      <c r="M63" s="17" t="str">
        <f t="shared" ca="1" si="3"/>
        <v/>
      </c>
      <c r="N63" s="88" t="str">
        <f ca="1">IFERROR(IF('Data Input'!M77="","",DEGREES(ATAN('Data Input'!M77*12/$B$22))),"")</f>
        <v/>
      </c>
      <c r="O63" s="17" t="str">
        <f t="shared" ca="1" si="4"/>
        <v/>
      </c>
      <c r="P63" s="42" t="str">
        <f ca="1">IFERROR(IF('Data Input'!P77="","",ABS('Data Input'!P77)*12),"")</f>
        <v/>
      </c>
      <c r="Q63" s="87" t="str">
        <f t="shared" ca="1" si="5"/>
        <v/>
      </c>
      <c r="R63" s="17" t="str">
        <f t="shared" ca="1" si="6"/>
        <v/>
      </c>
      <c r="S63" s="48">
        <f ca="1">IFERROR(IF('Data Input'!M77="",50,MIN(100,MAX(0,50+'Data Input'!M77*500))),50)</f>
        <v>50</v>
      </c>
      <c r="T63" s="27">
        <f ca="1">IFERROR(IF(OR('Data Input'!M77="",'Data Input'!N77=""),0,'Data Input'!M77-'Data Input'!N77),0)</f>
        <v>0</v>
      </c>
      <c r="U63" s="17" t="str">
        <f ca="1">IFERROR(IF('Data Input'!J77="","LOW",IF(ABS('Data Input'!J77)&gt;1.2,"HIGH",IF(ABS('Data Input'!J77)&gt;0.8,"MEDIUM","LOW"))),"LOW")</f>
        <v>LOW</v>
      </c>
      <c r="V63" s="43">
        <f t="shared" ca="1" si="7"/>
        <v>50</v>
      </c>
      <c r="W63" s="43">
        <f t="shared" ca="1" si="8"/>
        <v>50</v>
      </c>
      <c r="X63" s="43">
        <f t="shared" ca="1" si="9"/>
        <v>50</v>
      </c>
      <c r="Y63" s="43">
        <f t="shared" ca="1" si="10"/>
        <v>42</v>
      </c>
      <c r="Z63" s="43">
        <f t="shared" ca="1" si="11"/>
        <v>49</v>
      </c>
      <c r="AA63" s="17" t="str">
        <f t="shared" ca="1" si="12"/>
        <v>HOLD</v>
      </c>
      <c r="AB63" s="17" t="str">
        <f t="shared" ca="1" si="13"/>
        <v>P3 — MONITOR</v>
      </c>
    </row>
    <row r="64" spans="1:28" ht="15" customHeight="1" x14ac:dyDescent="0.3">
      <c r="A64" s="64" t="str">
        <f>'Data Input'!A78</f>
        <v>VFIAX</v>
      </c>
      <c r="B64" s="85" t="str">
        <f ca="1">'Data Input'!D78</f>
        <v/>
      </c>
      <c r="C64" s="86" t="str">
        <f ca="1">IFERROR(IF(B64="","",B64/(1+'Data Input'!M78)),"")</f>
        <v/>
      </c>
      <c r="D64" s="86" t="str">
        <f ca="1">IFERROR(IF(C64="","",C64+$B$7*C64*('Data Input'!H78/SQRT(252)*SQRT($B$6))),"")</f>
        <v/>
      </c>
      <c r="E64" s="86" t="str">
        <f ca="1">IFERROR(IF(C64="","",C64-$B$7*C64*('Data Input'!H78/SQRT(252)*SQRT($B$6))),"")</f>
        <v/>
      </c>
      <c r="F64" s="27" t="str">
        <f t="shared" ca="1" si="0"/>
        <v/>
      </c>
      <c r="G64" s="42">
        <f t="shared" ca="1" si="1"/>
        <v>0.5</v>
      </c>
      <c r="H64" s="17" t="str">
        <f t="shared" ca="1" si="2"/>
        <v>NEUTRAL</v>
      </c>
      <c r="I64" s="17" t="str">
        <f ca="1">IFERROR(IF(OR('Data Input'!P78="",'Data Input'!N78=""),"N/A",IF(AND('Data Input'!P78&gt;0,'Data Input'!N78&gt;0,'Data Input'!M78&gt;0),"IMPULSE (W3/5)",IF(AND('Data Input'!P78&gt;0,'Data Input'!N78&lt;0),"CORRECTIVE (W4)",IF(AND('Data Input'!P78&lt;0,'Data Input'!M78&gt;0),"WAVE 1 START",IF(AND('Data Input'!P78&lt;0,'Data Input'!M78&lt;0),"DECLINE (WC)","TRANSITION"))))),"N/A")</f>
        <v>N/A</v>
      </c>
      <c r="J64" s="17" t="str">
        <f ca="1">IF(I64="IMPULSE (W3/5)",IF('Data Input'!M78&gt;0.03,"W5","W3"),IF(I64="CORRECTIVE (W4)","W4",IF(I64="WAVE 1 START","W1",IF(I64="DECLINE (WC)","WC","—"))))</f>
        <v>—</v>
      </c>
      <c r="K64" s="17" t="str">
        <f ca="1">IFERROR(IF(OR('Data Input'!M78="",'Data Input'!N78=""),"",IF((IF('Data Input'!M78&gt;0,1,0)+IF('Data Input'!N78&gt;0,1,0)+IF('Data Input'!O78&gt;0,1,0)+IF('Data Input'!P78&gt;0,1,0))&gt;=3,"YES","NO")),"")</f>
        <v/>
      </c>
      <c r="L64" s="87" t="str">
        <f ca="1">IFERROR(IF(OR('Data Input'!P78="",'Data Input'!N78=""),"",ABS('Data Input'!N78/IF('Data Input'!P78=0,0.001,'Data Input'!P78))),"")</f>
        <v/>
      </c>
      <c r="M64" s="17" t="str">
        <f t="shared" ca="1" si="3"/>
        <v/>
      </c>
      <c r="N64" s="88" t="str">
        <f ca="1">IFERROR(IF('Data Input'!M78="","",DEGREES(ATAN('Data Input'!M78*12/$B$22))),"")</f>
        <v/>
      </c>
      <c r="O64" s="17" t="str">
        <f t="shared" ca="1" si="4"/>
        <v/>
      </c>
      <c r="P64" s="42" t="str">
        <f ca="1">IFERROR(IF('Data Input'!P78="","",ABS('Data Input'!P78)*12),"")</f>
        <v/>
      </c>
      <c r="Q64" s="87" t="str">
        <f t="shared" ca="1" si="5"/>
        <v/>
      </c>
      <c r="R64" s="17" t="str">
        <f t="shared" ca="1" si="6"/>
        <v/>
      </c>
      <c r="S64" s="48">
        <f ca="1">IFERROR(IF('Data Input'!M78="",50,MIN(100,MAX(0,50+'Data Input'!M78*500))),50)</f>
        <v>50</v>
      </c>
      <c r="T64" s="27">
        <f ca="1">IFERROR(IF(OR('Data Input'!M78="",'Data Input'!N78=""),0,'Data Input'!M78-'Data Input'!N78),0)</f>
        <v>0</v>
      </c>
      <c r="U64" s="17" t="str">
        <f ca="1">IFERROR(IF('Data Input'!J78="","LOW",IF(ABS('Data Input'!J78)&gt;1.2,"HIGH",IF(ABS('Data Input'!J78)&gt;0.8,"MEDIUM","LOW"))),"LOW")</f>
        <v>LOW</v>
      </c>
      <c r="V64" s="43">
        <f t="shared" ca="1" si="7"/>
        <v>50</v>
      </c>
      <c r="W64" s="43">
        <f t="shared" ca="1" si="8"/>
        <v>50</v>
      </c>
      <c r="X64" s="43">
        <f t="shared" ca="1" si="9"/>
        <v>50</v>
      </c>
      <c r="Y64" s="43">
        <f t="shared" ca="1" si="10"/>
        <v>42</v>
      </c>
      <c r="Z64" s="43">
        <f t="shared" ca="1" si="11"/>
        <v>49</v>
      </c>
      <c r="AA64" s="17" t="str">
        <f t="shared" ca="1" si="12"/>
        <v>HOLD</v>
      </c>
      <c r="AB64" s="17" t="str">
        <f t="shared" ca="1" si="13"/>
        <v>P3 — MONITOR</v>
      </c>
    </row>
    <row r="65" spans="1:28" ht="15" customHeight="1" x14ac:dyDescent="0.3">
      <c r="A65" s="64" t="str">
        <f>'Data Input'!A79</f>
        <v>PIMIX</v>
      </c>
      <c r="B65" s="85" t="str">
        <f ca="1">'Data Input'!D79</f>
        <v/>
      </c>
      <c r="C65" s="86" t="str">
        <f ca="1">IFERROR(IF(B65="","",B65/(1+'Data Input'!M79)),"")</f>
        <v/>
      </c>
      <c r="D65" s="86" t="str">
        <f ca="1">IFERROR(IF(C65="","",C65+$B$7*C65*('Data Input'!H79/SQRT(252)*SQRT($B$6))),"")</f>
        <v/>
      </c>
      <c r="E65" s="86" t="str">
        <f ca="1">IFERROR(IF(C65="","",C65-$B$7*C65*('Data Input'!H79/SQRT(252)*SQRT($B$6))),"")</f>
        <v/>
      </c>
      <c r="F65" s="27" t="str">
        <f t="shared" ca="1" si="0"/>
        <v/>
      </c>
      <c r="G65" s="42">
        <f t="shared" ca="1" si="1"/>
        <v>0.5</v>
      </c>
      <c r="H65" s="17" t="str">
        <f t="shared" ca="1" si="2"/>
        <v>NEUTRAL</v>
      </c>
      <c r="I65" s="17" t="str">
        <f ca="1">IFERROR(IF(OR('Data Input'!P79="",'Data Input'!N79=""),"N/A",IF(AND('Data Input'!P79&gt;0,'Data Input'!N79&gt;0,'Data Input'!M79&gt;0),"IMPULSE (W3/5)",IF(AND('Data Input'!P79&gt;0,'Data Input'!N79&lt;0),"CORRECTIVE (W4)",IF(AND('Data Input'!P79&lt;0,'Data Input'!M79&gt;0),"WAVE 1 START",IF(AND('Data Input'!P79&lt;0,'Data Input'!M79&lt;0),"DECLINE (WC)","TRANSITION"))))),"N/A")</f>
        <v>N/A</v>
      </c>
      <c r="J65" s="17" t="str">
        <f ca="1">IF(I65="IMPULSE (W3/5)",IF('Data Input'!M79&gt;0.03,"W5","W3"),IF(I65="CORRECTIVE (W4)","W4",IF(I65="WAVE 1 START","W1",IF(I65="DECLINE (WC)","WC","—"))))</f>
        <v>—</v>
      </c>
      <c r="K65" s="17" t="str">
        <f ca="1">IFERROR(IF(OR('Data Input'!M79="",'Data Input'!N79=""),"",IF((IF('Data Input'!M79&gt;0,1,0)+IF('Data Input'!N79&gt;0,1,0)+IF('Data Input'!O79&gt;0,1,0)+IF('Data Input'!P79&gt;0,1,0))&gt;=3,"YES","NO")),"")</f>
        <v/>
      </c>
      <c r="L65" s="87" t="str">
        <f ca="1">IFERROR(IF(OR('Data Input'!P79="",'Data Input'!N79=""),"",ABS('Data Input'!N79/IF('Data Input'!P79=0,0.001,'Data Input'!P79))),"")</f>
        <v/>
      </c>
      <c r="M65" s="17" t="str">
        <f t="shared" ca="1" si="3"/>
        <v/>
      </c>
      <c r="N65" s="88" t="str">
        <f ca="1">IFERROR(IF('Data Input'!M79="","",DEGREES(ATAN('Data Input'!M79*12/$B$22))),"")</f>
        <v/>
      </c>
      <c r="O65" s="17" t="str">
        <f t="shared" ca="1" si="4"/>
        <v/>
      </c>
      <c r="P65" s="42" t="str">
        <f ca="1">IFERROR(IF('Data Input'!P79="","",ABS('Data Input'!P79)*12),"")</f>
        <v/>
      </c>
      <c r="Q65" s="87" t="str">
        <f t="shared" ca="1" si="5"/>
        <v/>
      </c>
      <c r="R65" s="17" t="str">
        <f t="shared" ca="1" si="6"/>
        <v/>
      </c>
      <c r="S65" s="48">
        <f ca="1">IFERROR(IF('Data Input'!M79="",50,MIN(100,MAX(0,50+'Data Input'!M79*500))),50)</f>
        <v>50</v>
      </c>
      <c r="T65" s="27">
        <f ca="1">IFERROR(IF(OR('Data Input'!M79="",'Data Input'!N79=""),0,'Data Input'!M79-'Data Input'!N79),0)</f>
        <v>0</v>
      </c>
      <c r="U65" s="17" t="str">
        <f ca="1">IFERROR(IF('Data Input'!J79="","LOW",IF(ABS('Data Input'!J79)&gt;1.2,"HIGH",IF(ABS('Data Input'!J79)&gt;0.8,"MEDIUM","LOW"))),"LOW")</f>
        <v>LOW</v>
      </c>
      <c r="V65" s="43">
        <f t="shared" ca="1" si="7"/>
        <v>50</v>
      </c>
      <c r="W65" s="43">
        <f t="shared" ca="1" si="8"/>
        <v>50</v>
      </c>
      <c r="X65" s="43">
        <f t="shared" ca="1" si="9"/>
        <v>50</v>
      </c>
      <c r="Y65" s="43">
        <f t="shared" ca="1" si="10"/>
        <v>42</v>
      </c>
      <c r="Z65" s="43">
        <f t="shared" ca="1" si="11"/>
        <v>49</v>
      </c>
      <c r="AA65" s="17" t="str">
        <f t="shared" ca="1" si="12"/>
        <v>HOLD</v>
      </c>
      <c r="AB65" s="17" t="str">
        <f t="shared" ca="1" si="13"/>
        <v>P3 — MONITOR</v>
      </c>
    </row>
    <row r="66" spans="1:28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15" customHeight="1" x14ac:dyDescent="0.3">
      <c r="A67" s="69" t="s">
        <v>933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5" customHeight="1" x14ac:dyDescent="0.3">
      <c r="A68" s="19" t="s">
        <v>672</v>
      </c>
      <c r="B68" s="43">
        <f ca="1">COUNTIF(AA42:AA65,"STRONG BUY")</f>
        <v>0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5" customHeight="1" x14ac:dyDescent="0.3">
      <c r="A69" s="19" t="s">
        <v>255</v>
      </c>
      <c r="B69" s="43">
        <f ca="1">COUNTIF(AA42:AA65,"BUY")</f>
        <v>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5" customHeight="1" x14ac:dyDescent="0.3">
      <c r="A70" s="19" t="s">
        <v>934</v>
      </c>
      <c r="B70" s="43">
        <f ca="1">COUNTIF(AA42:AA65,"HOLD")</f>
        <v>24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5" customHeight="1" x14ac:dyDescent="0.3">
      <c r="A71" s="19" t="s">
        <v>256</v>
      </c>
      <c r="B71" s="43">
        <f ca="1">COUNTIF(AA42:AA65,"SELL")</f>
        <v>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5" customHeight="1" x14ac:dyDescent="0.3">
      <c r="A72" s="19" t="s">
        <v>935</v>
      </c>
      <c r="B72" s="43">
        <f ca="1">COUNTIF(AA42:AA65,"STRONG SELL")</f>
        <v>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5" customHeight="1" x14ac:dyDescent="0.3">
      <c r="A73" s="19" t="s">
        <v>936</v>
      </c>
      <c r="B73" s="48">
        <f ca="1">AVERAGE(Z42:Z65)</f>
        <v>49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5" customHeight="1" x14ac:dyDescent="0.3">
      <c r="A74" s="19" t="s">
        <v>937</v>
      </c>
      <c r="B74" s="48">
        <f ca="1">AVERAGE(V42:V65)</f>
        <v>50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5" customHeight="1" x14ac:dyDescent="0.3">
      <c r="A75" s="19" t="s">
        <v>938</v>
      </c>
      <c r="B75" s="48">
        <f ca="1">AVERAGE(W42:W65)</f>
        <v>50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5" customHeight="1" x14ac:dyDescent="0.3">
      <c r="A76" s="19" t="s">
        <v>939</v>
      </c>
      <c r="B76" s="48">
        <f ca="1">AVERAGE(X42:X65)</f>
        <v>50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5" customHeight="1" x14ac:dyDescent="0.3">
      <c r="A77" s="19" t="s">
        <v>940</v>
      </c>
      <c r="B77" s="43">
        <f ca="1">COUNTIF(AB42:AB65,"P1*")</f>
        <v>0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5" customHeight="1" x14ac:dyDescent="0.3">
      <c r="A78" s="19" t="s">
        <v>941</v>
      </c>
      <c r="B78" s="43">
        <f ca="1">COUNTIF(K42:K65,"YES")</f>
        <v>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5" customHeight="1" x14ac:dyDescent="0.3">
      <c r="A79" s="19" t="s">
        <v>942</v>
      </c>
      <c r="B79" s="43">
        <f ca="1">COUNTIF(H42:H65,"SQUEEZE*")</f>
        <v>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15" customHeight="1" x14ac:dyDescent="0.3">
      <c r="A82" s="69" t="s">
        <v>943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15" customHeight="1" x14ac:dyDescent="0.3">
      <c r="A83" s="32" t="s">
        <v>72</v>
      </c>
      <c r="B83" s="32" t="s">
        <v>944</v>
      </c>
      <c r="C83" s="32" t="s">
        <v>945</v>
      </c>
      <c r="D83" s="32" t="s">
        <v>946</v>
      </c>
      <c r="E83" s="32" t="s">
        <v>947</v>
      </c>
      <c r="F83" s="32" t="s">
        <v>948</v>
      </c>
      <c r="G83" s="32" t="s">
        <v>949</v>
      </c>
      <c r="H83" s="32" t="s">
        <v>104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15" customHeight="1" x14ac:dyDescent="0.3">
      <c r="A84" s="64" t="str">
        <f>'Data Input'!A56</f>
        <v>SPY</v>
      </c>
      <c r="B84" s="64" t="str">
        <f t="shared" ref="B84:B107" ca="1" si="14">AA42</f>
        <v>HOLD</v>
      </c>
      <c r="C84" s="62">
        <f t="shared" ref="C84:C107" ca="1" si="15">Z42</f>
        <v>49</v>
      </c>
      <c r="D84" s="64" t="str">
        <f ca="1">'Asset Analysis'!O4</f>
        <v>SELL</v>
      </c>
      <c r="E84" s="62">
        <f ca="1">'Data Input'!AC56</f>
        <v>0</v>
      </c>
      <c r="F84" s="17" t="str">
        <f t="shared" ref="F84:F107" ca="1" si="16">IF(AND(OR(B84="BUY",B84="STRONG BUY"),OR(D84="BUY",D84="HOLD")),"ALIGNED",IF(AND(OR(B84="SELL",B84="STRONG SELL"),D84="SELL"),"ALIGNED","DIVERGENT"))</f>
        <v>DIVERGENT</v>
      </c>
      <c r="G84" s="43">
        <f t="shared" ref="G84:G107" ca="1" si="17">ROUND((C84+E84)/2,0)</f>
        <v>25</v>
      </c>
      <c r="H84" s="17" t="str">
        <f t="shared" ref="H84:H107" ca="1" si="18">IF(AND(F84="ALIGNED",G84&gt;=70),"STRONG CONVICTION BUY",IF(AND(F84="ALIGNED",G84&lt;=30),"STRONG CONVICTION SELL",IF(F84="DIVERGENT","⚠ REVIEW — SIGNALS CONFLICT",IF(G84&gt;=55,"LEAN BUY","LEAN HOLD"))))</f>
        <v>⚠ REVIEW — SIGNALS CONFLICT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15" customHeight="1" x14ac:dyDescent="0.3">
      <c r="A85" s="64" t="str">
        <f>'Data Input'!A57</f>
        <v>QQQ</v>
      </c>
      <c r="B85" s="64" t="str">
        <f t="shared" ca="1" si="14"/>
        <v>HOLD</v>
      </c>
      <c r="C85" s="62">
        <f t="shared" ca="1" si="15"/>
        <v>49</v>
      </c>
      <c r="D85" s="64" t="str">
        <f ca="1">'Asset Analysis'!O5</f>
        <v>SELL</v>
      </c>
      <c r="E85" s="62">
        <f ca="1">'Data Input'!AC57</f>
        <v>0</v>
      </c>
      <c r="F85" s="17" t="str">
        <f t="shared" ca="1" si="16"/>
        <v>DIVERGENT</v>
      </c>
      <c r="G85" s="43">
        <f t="shared" ca="1" si="17"/>
        <v>25</v>
      </c>
      <c r="H85" s="17" t="str">
        <f t="shared" ca="1" si="18"/>
        <v>⚠ REVIEW — SIGNALS CONFLICT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15" customHeight="1" x14ac:dyDescent="0.3">
      <c r="A86" s="64" t="str">
        <f>'Data Input'!A58</f>
        <v>IWM</v>
      </c>
      <c r="B86" s="64" t="str">
        <f t="shared" ca="1" si="14"/>
        <v>HOLD</v>
      </c>
      <c r="C86" s="62">
        <f t="shared" ca="1" si="15"/>
        <v>49</v>
      </c>
      <c r="D86" s="64" t="str">
        <f ca="1">'Asset Analysis'!O6</f>
        <v>SELL</v>
      </c>
      <c r="E86" s="62">
        <f ca="1">'Data Input'!AC58</f>
        <v>0</v>
      </c>
      <c r="F86" s="17" t="str">
        <f t="shared" ca="1" si="16"/>
        <v>DIVERGENT</v>
      </c>
      <c r="G86" s="43">
        <f t="shared" ca="1" si="17"/>
        <v>25</v>
      </c>
      <c r="H86" s="17" t="str">
        <f t="shared" ca="1" si="18"/>
        <v>⚠ REVIEW — SIGNALS CONFLICT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15" customHeight="1" x14ac:dyDescent="0.3">
      <c r="A87" s="64" t="str">
        <f>'Data Input'!A59</f>
        <v>EFA</v>
      </c>
      <c r="B87" s="64" t="str">
        <f t="shared" ca="1" si="14"/>
        <v>HOLD</v>
      </c>
      <c r="C87" s="62">
        <f t="shared" ca="1" si="15"/>
        <v>49</v>
      </c>
      <c r="D87" s="64" t="str">
        <f ca="1">'Asset Analysis'!O7</f>
        <v>SELL</v>
      </c>
      <c r="E87" s="62">
        <f ca="1">'Data Input'!AC59</f>
        <v>0</v>
      </c>
      <c r="F87" s="17" t="str">
        <f t="shared" ca="1" si="16"/>
        <v>DIVERGENT</v>
      </c>
      <c r="G87" s="43">
        <f t="shared" ca="1" si="17"/>
        <v>25</v>
      </c>
      <c r="H87" s="17" t="str">
        <f t="shared" ca="1" si="18"/>
        <v>⚠ REVIEW — SIGNALS CONFLICT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15" customHeight="1" x14ac:dyDescent="0.3">
      <c r="A88" s="64" t="str">
        <f>'Data Input'!A60</f>
        <v>EEM</v>
      </c>
      <c r="B88" s="64" t="str">
        <f t="shared" ca="1" si="14"/>
        <v>HOLD</v>
      </c>
      <c r="C88" s="62">
        <f t="shared" ca="1" si="15"/>
        <v>49</v>
      </c>
      <c r="D88" s="64" t="str">
        <f ca="1">'Asset Analysis'!O8</f>
        <v>SELL</v>
      </c>
      <c r="E88" s="62">
        <f ca="1">'Data Input'!AC60</f>
        <v>0</v>
      </c>
      <c r="F88" s="17" t="str">
        <f t="shared" ca="1" si="16"/>
        <v>DIVERGENT</v>
      </c>
      <c r="G88" s="43">
        <f t="shared" ca="1" si="17"/>
        <v>25</v>
      </c>
      <c r="H88" s="17" t="str">
        <f t="shared" ca="1" si="18"/>
        <v>⚠ REVIEW — SIGNALS CONFLICT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15" customHeight="1" x14ac:dyDescent="0.3">
      <c r="A89" s="64" t="str">
        <f>'Data Input'!A61</f>
        <v>AGG</v>
      </c>
      <c r="B89" s="64" t="str">
        <f t="shared" ca="1" si="14"/>
        <v>HOLD</v>
      </c>
      <c r="C89" s="62">
        <f t="shared" ca="1" si="15"/>
        <v>49</v>
      </c>
      <c r="D89" s="64" t="str">
        <f ca="1">'Asset Analysis'!O9</f>
        <v>SELL</v>
      </c>
      <c r="E89" s="62">
        <f ca="1">'Data Input'!AC61</f>
        <v>0</v>
      </c>
      <c r="F89" s="17" t="str">
        <f t="shared" ca="1" si="16"/>
        <v>DIVERGENT</v>
      </c>
      <c r="G89" s="43">
        <f t="shared" ca="1" si="17"/>
        <v>25</v>
      </c>
      <c r="H89" s="17" t="str">
        <f t="shared" ca="1" si="18"/>
        <v>⚠ REVIEW — SIGNALS CONFLICT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15" customHeight="1" x14ac:dyDescent="0.3">
      <c r="A90" s="64" t="str">
        <f>'Data Input'!A62</f>
        <v>TLT</v>
      </c>
      <c r="B90" s="64" t="str">
        <f t="shared" ca="1" si="14"/>
        <v>HOLD</v>
      </c>
      <c r="C90" s="62">
        <f t="shared" ca="1" si="15"/>
        <v>49</v>
      </c>
      <c r="D90" s="64" t="str">
        <f ca="1">'Asset Analysis'!O10</f>
        <v>SELL</v>
      </c>
      <c r="E90" s="62">
        <f ca="1">'Data Input'!AC62</f>
        <v>0</v>
      </c>
      <c r="F90" s="17" t="str">
        <f t="shared" ca="1" si="16"/>
        <v>DIVERGENT</v>
      </c>
      <c r="G90" s="43">
        <f t="shared" ca="1" si="17"/>
        <v>25</v>
      </c>
      <c r="H90" s="17" t="str">
        <f t="shared" ca="1" si="18"/>
        <v>⚠ REVIEW — SIGNALS CONFLICT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15" customHeight="1" x14ac:dyDescent="0.3">
      <c r="A91" s="64" t="str">
        <f>'Data Input'!A63</f>
        <v>GLD</v>
      </c>
      <c r="B91" s="64" t="str">
        <f t="shared" ca="1" si="14"/>
        <v>HOLD</v>
      </c>
      <c r="C91" s="62">
        <f t="shared" ca="1" si="15"/>
        <v>49</v>
      </c>
      <c r="D91" s="64" t="str">
        <f ca="1">'Asset Analysis'!O11</f>
        <v>SELL</v>
      </c>
      <c r="E91" s="62">
        <f ca="1">'Data Input'!AC63</f>
        <v>0</v>
      </c>
      <c r="F91" s="17" t="str">
        <f t="shared" ca="1" si="16"/>
        <v>DIVERGENT</v>
      </c>
      <c r="G91" s="43">
        <f t="shared" ca="1" si="17"/>
        <v>25</v>
      </c>
      <c r="H91" s="17" t="str">
        <f t="shared" ca="1" si="18"/>
        <v>⚠ REVIEW — SIGNALS CONFLICT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15" customHeight="1" x14ac:dyDescent="0.3">
      <c r="A92" s="64" t="str">
        <f>'Data Input'!A64</f>
        <v>VNQ</v>
      </c>
      <c r="B92" s="64" t="str">
        <f t="shared" ca="1" si="14"/>
        <v>HOLD</v>
      </c>
      <c r="C92" s="62">
        <f t="shared" ca="1" si="15"/>
        <v>49</v>
      </c>
      <c r="D92" s="64" t="str">
        <f ca="1">'Asset Analysis'!O12</f>
        <v>SELL</v>
      </c>
      <c r="E92" s="62">
        <f ca="1">'Data Input'!AC64</f>
        <v>0</v>
      </c>
      <c r="F92" s="17" t="str">
        <f t="shared" ca="1" si="16"/>
        <v>DIVERGENT</v>
      </c>
      <c r="G92" s="43">
        <f t="shared" ca="1" si="17"/>
        <v>25</v>
      </c>
      <c r="H92" s="17" t="str">
        <f t="shared" ca="1" si="18"/>
        <v>⚠ REVIEW — SIGNALS CONFLICT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5" customHeight="1" x14ac:dyDescent="0.3">
      <c r="A93" s="64" t="str">
        <f>'Data Input'!A65</f>
        <v>XLK</v>
      </c>
      <c r="B93" s="64" t="str">
        <f t="shared" ca="1" si="14"/>
        <v>HOLD</v>
      </c>
      <c r="C93" s="62">
        <f t="shared" ca="1" si="15"/>
        <v>49</v>
      </c>
      <c r="D93" s="64" t="str">
        <f ca="1">'Asset Analysis'!O13</f>
        <v>SELL</v>
      </c>
      <c r="E93" s="62">
        <f ca="1">'Data Input'!AC65</f>
        <v>0</v>
      </c>
      <c r="F93" s="17" t="str">
        <f t="shared" ca="1" si="16"/>
        <v>DIVERGENT</v>
      </c>
      <c r="G93" s="43">
        <f t="shared" ca="1" si="17"/>
        <v>25</v>
      </c>
      <c r="H93" s="17" t="str">
        <f t="shared" ca="1" si="18"/>
        <v>⚠ REVIEW — SIGNALS CONFLICT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5" customHeight="1" x14ac:dyDescent="0.3">
      <c r="A94" s="64" t="str">
        <f>'Data Input'!A66</f>
        <v>XLV</v>
      </c>
      <c r="B94" s="64" t="str">
        <f t="shared" ca="1" si="14"/>
        <v>HOLD</v>
      </c>
      <c r="C94" s="62">
        <f t="shared" ca="1" si="15"/>
        <v>49</v>
      </c>
      <c r="D94" s="64" t="str">
        <f ca="1">'Asset Analysis'!O14</f>
        <v>SELL</v>
      </c>
      <c r="E94" s="62">
        <f ca="1">'Data Input'!AC66</f>
        <v>0</v>
      </c>
      <c r="F94" s="17" t="str">
        <f t="shared" ca="1" si="16"/>
        <v>DIVERGENT</v>
      </c>
      <c r="G94" s="43">
        <f t="shared" ca="1" si="17"/>
        <v>25</v>
      </c>
      <c r="H94" s="17" t="str">
        <f t="shared" ca="1" si="18"/>
        <v>⚠ REVIEW — SIGNALS CONFLICT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ht="15" customHeight="1" x14ac:dyDescent="0.3">
      <c r="A95" s="64" t="str">
        <f>'Data Input'!A67</f>
        <v>XLE</v>
      </c>
      <c r="B95" s="64" t="str">
        <f t="shared" ca="1" si="14"/>
        <v>HOLD</v>
      </c>
      <c r="C95" s="62">
        <f t="shared" ca="1" si="15"/>
        <v>49</v>
      </c>
      <c r="D95" s="64" t="str">
        <f ca="1">'Asset Analysis'!O15</f>
        <v>SELL</v>
      </c>
      <c r="E95" s="62">
        <f ca="1">'Data Input'!AC67</f>
        <v>0</v>
      </c>
      <c r="F95" s="17" t="str">
        <f t="shared" ca="1" si="16"/>
        <v>DIVERGENT</v>
      </c>
      <c r="G95" s="43">
        <f t="shared" ca="1" si="17"/>
        <v>25</v>
      </c>
      <c r="H95" s="17" t="str">
        <f t="shared" ca="1" si="18"/>
        <v>⚠ REVIEW — SIGNALS CONFLICT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15" customHeight="1" x14ac:dyDescent="0.3">
      <c r="A96" s="64" t="str">
        <f>'Data Input'!A68</f>
        <v>XLF</v>
      </c>
      <c r="B96" s="64" t="str">
        <f t="shared" ca="1" si="14"/>
        <v>HOLD</v>
      </c>
      <c r="C96" s="62">
        <f t="shared" ca="1" si="15"/>
        <v>49</v>
      </c>
      <c r="D96" s="64" t="str">
        <f ca="1">'Asset Analysis'!O16</f>
        <v>SELL</v>
      </c>
      <c r="E96" s="62">
        <f ca="1">'Data Input'!AC68</f>
        <v>0</v>
      </c>
      <c r="F96" s="17" t="str">
        <f t="shared" ca="1" si="16"/>
        <v>DIVERGENT</v>
      </c>
      <c r="G96" s="43">
        <f t="shared" ca="1" si="17"/>
        <v>25</v>
      </c>
      <c r="H96" s="17" t="str">
        <f t="shared" ca="1" si="18"/>
        <v>⚠ REVIEW — SIGNALS CONFLICT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15" customHeight="1" x14ac:dyDescent="0.3">
      <c r="A97" s="64" t="str">
        <f>'Data Input'!A69</f>
        <v>DBMF</v>
      </c>
      <c r="B97" s="64" t="str">
        <f t="shared" ca="1" si="14"/>
        <v>HOLD</v>
      </c>
      <c r="C97" s="62">
        <f t="shared" ca="1" si="15"/>
        <v>49</v>
      </c>
      <c r="D97" s="64" t="str">
        <f ca="1">'Asset Analysis'!O17</f>
        <v>SELL</v>
      </c>
      <c r="E97" s="62">
        <f ca="1">'Data Input'!AC69</f>
        <v>0</v>
      </c>
      <c r="F97" s="17" t="str">
        <f t="shared" ca="1" si="16"/>
        <v>DIVERGENT</v>
      </c>
      <c r="G97" s="43">
        <f t="shared" ca="1" si="17"/>
        <v>25</v>
      </c>
      <c r="H97" s="17" t="str">
        <f t="shared" ca="1" si="18"/>
        <v>⚠ REVIEW — SIGNALS CONFLICT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15" customHeight="1" x14ac:dyDescent="0.3">
      <c r="A98" s="64" t="str">
        <f>'Data Input'!A70</f>
        <v>CTA</v>
      </c>
      <c r="B98" s="64" t="str">
        <f t="shared" ca="1" si="14"/>
        <v>HOLD</v>
      </c>
      <c r="C98" s="62">
        <f t="shared" ca="1" si="15"/>
        <v>49</v>
      </c>
      <c r="D98" s="64" t="str">
        <f ca="1">'Asset Analysis'!O18</f>
        <v>SELL</v>
      </c>
      <c r="E98" s="62">
        <f ca="1">'Data Input'!AC70</f>
        <v>0</v>
      </c>
      <c r="F98" s="17" t="str">
        <f t="shared" ca="1" si="16"/>
        <v>DIVERGENT</v>
      </c>
      <c r="G98" s="43">
        <f t="shared" ca="1" si="17"/>
        <v>25</v>
      </c>
      <c r="H98" s="17" t="str">
        <f t="shared" ca="1" si="18"/>
        <v>⚠ REVIEW — SIGNALS CONFLICT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15" customHeight="1" x14ac:dyDescent="0.3">
      <c r="A99" s="64" t="str">
        <f>'Data Input'!A71</f>
        <v>KMLM</v>
      </c>
      <c r="B99" s="64" t="str">
        <f t="shared" ca="1" si="14"/>
        <v>HOLD</v>
      </c>
      <c r="C99" s="62">
        <f t="shared" ca="1" si="15"/>
        <v>49</v>
      </c>
      <c r="D99" s="64" t="str">
        <f ca="1">'Asset Analysis'!O19</f>
        <v>SELL</v>
      </c>
      <c r="E99" s="62">
        <f ca="1">'Data Input'!AC71</f>
        <v>0</v>
      </c>
      <c r="F99" s="17" t="str">
        <f t="shared" ca="1" si="16"/>
        <v>DIVERGENT</v>
      </c>
      <c r="G99" s="43">
        <f t="shared" ca="1" si="17"/>
        <v>25</v>
      </c>
      <c r="H99" s="17" t="str">
        <f t="shared" ca="1" si="18"/>
        <v>⚠ REVIEW — SIGNALS CONFLICT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15" customHeight="1" x14ac:dyDescent="0.3">
      <c r="A100" s="64" t="str">
        <f>'Data Input'!A72</f>
        <v>BTAL</v>
      </c>
      <c r="B100" s="64" t="str">
        <f t="shared" ca="1" si="14"/>
        <v>HOLD</v>
      </c>
      <c r="C100" s="62">
        <f t="shared" ca="1" si="15"/>
        <v>49</v>
      </c>
      <c r="D100" s="64" t="str">
        <f ca="1">'Asset Analysis'!O20</f>
        <v>SELL</v>
      </c>
      <c r="E100" s="62">
        <f ca="1">'Data Input'!AC72</f>
        <v>0</v>
      </c>
      <c r="F100" s="17" t="str">
        <f t="shared" ca="1" si="16"/>
        <v>DIVERGENT</v>
      </c>
      <c r="G100" s="43">
        <f t="shared" ca="1" si="17"/>
        <v>25</v>
      </c>
      <c r="H100" s="17" t="str">
        <f t="shared" ca="1" si="18"/>
        <v>⚠ REVIEW — SIGNALS CONFLICT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15" customHeight="1" x14ac:dyDescent="0.3">
      <c r="A101" s="64" t="str">
        <f>'Data Input'!A73</f>
        <v>TAIL</v>
      </c>
      <c r="B101" s="64" t="str">
        <f t="shared" ca="1" si="14"/>
        <v>HOLD</v>
      </c>
      <c r="C101" s="62">
        <f t="shared" ca="1" si="15"/>
        <v>49</v>
      </c>
      <c r="D101" s="64" t="str">
        <f ca="1">'Asset Analysis'!O21</f>
        <v>SELL</v>
      </c>
      <c r="E101" s="62">
        <f ca="1">'Data Input'!AC73</f>
        <v>0</v>
      </c>
      <c r="F101" s="17" t="str">
        <f t="shared" ca="1" si="16"/>
        <v>DIVERGENT</v>
      </c>
      <c r="G101" s="43">
        <f t="shared" ca="1" si="17"/>
        <v>25</v>
      </c>
      <c r="H101" s="17" t="str">
        <f t="shared" ca="1" si="18"/>
        <v>⚠ REVIEW — SIGNALS CONFLICT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15" customHeight="1" x14ac:dyDescent="0.3">
      <c r="A102" s="64" t="str">
        <f>'Data Input'!A74</f>
        <v>AAPL</v>
      </c>
      <c r="B102" s="64" t="str">
        <f t="shared" ca="1" si="14"/>
        <v>HOLD</v>
      </c>
      <c r="C102" s="62">
        <f t="shared" ca="1" si="15"/>
        <v>49</v>
      </c>
      <c r="D102" s="64" t="str">
        <f ca="1">'Asset Analysis'!O22</f>
        <v>SELL</v>
      </c>
      <c r="E102" s="62">
        <f ca="1">'Data Input'!AC74</f>
        <v>0</v>
      </c>
      <c r="F102" s="17" t="str">
        <f t="shared" ca="1" si="16"/>
        <v>DIVERGENT</v>
      </c>
      <c r="G102" s="43">
        <f t="shared" ca="1" si="17"/>
        <v>25</v>
      </c>
      <c r="H102" s="17" t="str">
        <f t="shared" ca="1" si="18"/>
        <v>⚠ REVIEW — SIGNALS CONFLICT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15" customHeight="1" x14ac:dyDescent="0.3">
      <c r="A103" s="64" t="str">
        <f>'Data Input'!A75</f>
        <v>MSFT</v>
      </c>
      <c r="B103" s="64" t="str">
        <f t="shared" ca="1" si="14"/>
        <v>HOLD</v>
      </c>
      <c r="C103" s="62">
        <f t="shared" ca="1" si="15"/>
        <v>49</v>
      </c>
      <c r="D103" s="64" t="str">
        <f ca="1">'Asset Analysis'!O23</f>
        <v>SELL</v>
      </c>
      <c r="E103" s="62">
        <f ca="1">'Data Input'!AC75</f>
        <v>0</v>
      </c>
      <c r="F103" s="17" t="str">
        <f t="shared" ca="1" si="16"/>
        <v>DIVERGENT</v>
      </c>
      <c r="G103" s="43">
        <f t="shared" ca="1" si="17"/>
        <v>25</v>
      </c>
      <c r="H103" s="17" t="str">
        <f t="shared" ca="1" si="18"/>
        <v>⚠ REVIEW — SIGNALS CONFLICT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15" customHeight="1" x14ac:dyDescent="0.3">
      <c r="A104" s="64" t="str">
        <f>'Data Input'!A76</f>
        <v>NVDA</v>
      </c>
      <c r="B104" s="64" t="str">
        <f t="shared" ca="1" si="14"/>
        <v>HOLD</v>
      </c>
      <c r="C104" s="62">
        <f t="shared" ca="1" si="15"/>
        <v>49</v>
      </c>
      <c r="D104" s="64" t="str">
        <f ca="1">'Asset Analysis'!O24</f>
        <v>SELL</v>
      </c>
      <c r="E104" s="62">
        <f ca="1">'Data Input'!AC76</f>
        <v>0</v>
      </c>
      <c r="F104" s="17" t="str">
        <f t="shared" ca="1" si="16"/>
        <v>DIVERGENT</v>
      </c>
      <c r="G104" s="43">
        <f t="shared" ca="1" si="17"/>
        <v>25</v>
      </c>
      <c r="H104" s="17" t="str">
        <f t="shared" ca="1" si="18"/>
        <v>⚠ REVIEW — SIGNALS CONFLICT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15" customHeight="1" x14ac:dyDescent="0.3">
      <c r="A105" s="64" t="str">
        <f>'Data Input'!A77</f>
        <v>JPM</v>
      </c>
      <c r="B105" s="64" t="str">
        <f t="shared" ca="1" si="14"/>
        <v>HOLD</v>
      </c>
      <c r="C105" s="62">
        <f t="shared" ca="1" si="15"/>
        <v>49</v>
      </c>
      <c r="D105" s="64" t="str">
        <f ca="1">'Asset Analysis'!O25</f>
        <v>SELL</v>
      </c>
      <c r="E105" s="62">
        <f ca="1">'Data Input'!AC77</f>
        <v>0</v>
      </c>
      <c r="F105" s="17" t="str">
        <f t="shared" ca="1" si="16"/>
        <v>DIVERGENT</v>
      </c>
      <c r="G105" s="43">
        <f t="shared" ca="1" si="17"/>
        <v>25</v>
      </c>
      <c r="H105" s="17" t="str">
        <f t="shared" ca="1" si="18"/>
        <v>⚠ REVIEW — SIGNALS CONFLICT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5" customHeight="1" x14ac:dyDescent="0.3">
      <c r="A106" s="64" t="str">
        <f>'Data Input'!A78</f>
        <v>VFIAX</v>
      </c>
      <c r="B106" s="64" t="str">
        <f t="shared" ca="1" si="14"/>
        <v>HOLD</v>
      </c>
      <c r="C106" s="62">
        <f t="shared" ca="1" si="15"/>
        <v>49</v>
      </c>
      <c r="D106" s="64" t="str">
        <f ca="1">'Asset Analysis'!O26</f>
        <v>SELL</v>
      </c>
      <c r="E106" s="62">
        <f ca="1">'Data Input'!AC78</f>
        <v>0</v>
      </c>
      <c r="F106" s="17" t="str">
        <f t="shared" ca="1" si="16"/>
        <v>DIVERGENT</v>
      </c>
      <c r="G106" s="43">
        <f t="shared" ca="1" si="17"/>
        <v>25</v>
      </c>
      <c r="H106" s="17" t="str">
        <f t="shared" ca="1" si="18"/>
        <v>⚠ REVIEW — SIGNALS CONFLICT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5" customHeight="1" x14ac:dyDescent="0.3">
      <c r="A107" s="64" t="str">
        <f>'Data Input'!A79</f>
        <v>PIMIX</v>
      </c>
      <c r="B107" s="64" t="str">
        <f t="shared" ca="1" si="14"/>
        <v>HOLD</v>
      </c>
      <c r="C107" s="62">
        <f t="shared" ca="1" si="15"/>
        <v>49</v>
      </c>
      <c r="D107" s="64" t="str">
        <f ca="1">'Asset Analysis'!O27</f>
        <v>SELL</v>
      </c>
      <c r="E107" s="62">
        <f ca="1">'Data Input'!AC79</f>
        <v>0</v>
      </c>
      <c r="F107" s="17" t="str">
        <f t="shared" ca="1" si="16"/>
        <v>DIVERGENT</v>
      </c>
      <c r="G107" s="43">
        <f t="shared" ca="1" si="17"/>
        <v>25</v>
      </c>
      <c r="H107" s="17" t="str">
        <f t="shared" ca="1" si="18"/>
        <v>⚠ REVIEW — SIGNALS CONFLICT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</sheetData>
  <mergeCells count="2">
    <mergeCell ref="A1:V1"/>
    <mergeCell ref="A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6B6D4"/>
  </sheetPr>
  <dimension ref="A1:R13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6" customWidth="1"/>
    <col min="3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0" customWidth="1"/>
    <col min="10" max="10" width="16" customWidth="1"/>
    <col min="11" max="15" width="12" customWidth="1"/>
  </cols>
  <sheetData>
    <row r="1" spans="1:18" ht="17.25" customHeight="1" x14ac:dyDescent="0.3">
      <c r="A1" s="9" t="s">
        <v>950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1"/>
      <c r="R1" s="11"/>
    </row>
    <row r="2" spans="1:18" ht="15" customHeight="1" x14ac:dyDescent="0.3">
      <c r="A2" s="8" t="s">
        <v>951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1"/>
      <c r="R2" s="11"/>
    </row>
    <row r="3" spans="1:18" ht="1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5" customHeight="1" x14ac:dyDescent="0.3">
      <c r="A4" s="69" t="s">
        <v>952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" customHeight="1" x14ac:dyDescent="0.3">
      <c r="A5" s="19" t="s">
        <v>953</v>
      </c>
      <c r="B5" s="28">
        <v>45</v>
      </c>
      <c r="C5" s="21" t="s">
        <v>954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" customHeight="1" x14ac:dyDescent="0.3">
      <c r="A6" s="19" t="s">
        <v>955</v>
      </c>
      <c r="B6" s="28">
        <v>65</v>
      </c>
      <c r="C6" s="21" t="s">
        <v>956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customHeight="1" x14ac:dyDescent="0.3">
      <c r="A7" s="19" t="s">
        <v>957</v>
      </c>
      <c r="B7" s="28">
        <v>90</v>
      </c>
      <c r="C7" s="21" t="s">
        <v>958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customHeight="1" x14ac:dyDescent="0.3">
      <c r="A8" s="19" t="s">
        <v>959</v>
      </c>
      <c r="B8" s="60">
        <f>'Data Input'!B8</f>
        <v>100000</v>
      </c>
      <c r="C8" s="3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5" customHeight="1" x14ac:dyDescent="0.3">
      <c r="A9" s="19" t="s">
        <v>960</v>
      </c>
      <c r="B9" s="22">
        <v>150000</v>
      </c>
      <c r="C9" s="36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5" customHeight="1" x14ac:dyDescent="0.3">
      <c r="A10" s="19" t="s">
        <v>961</v>
      </c>
      <c r="B10" s="23">
        <v>0.15</v>
      </c>
      <c r="C10" s="36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5" customHeight="1" x14ac:dyDescent="0.3">
      <c r="A11" s="19" t="s">
        <v>687</v>
      </c>
      <c r="B11" s="71">
        <f>B9*B10</f>
        <v>22500</v>
      </c>
      <c r="C11" s="3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5" customHeight="1" x14ac:dyDescent="0.3">
      <c r="A12" s="19" t="s">
        <v>962</v>
      </c>
      <c r="B12" s="22">
        <v>80000</v>
      </c>
      <c r="C12" s="3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" customHeight="1" x14ac:dyDescent="0.3">
      <c r="A13" s="19" t="s">
        <v>963</v>
      </c>
      <c r="B13" s="22">
        <v>70000</v>
      </c>
      <c r="C13" s="3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5" customHeight="1" x14ac:dyDescent="0.3">
      <c r="A14" s="19" t="s">
        <v>964</v>
      </c>
      <c r="B14" s="22">
        <v>28000</v>
      </c>
      <c r="C14" s="3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5" customHeight="1" x14ac:dyDescent="0.3">
      <c r="A15" s="19" t="s">
        <v>965</v>
      </c>
      <c r="B15" s="22">
        <v>0</v>
      </c>
      <c r="C15" s="36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5" customHeight="1" x14ac:dyDescent="0.3">
      <c r="A16" s="19" t="s">
        <v>966</v>
      </c>
      <c r="B16" s="22">
        <v>0</v>
      </c>
      <c r="C16" s="36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15" customHeight="1" x14ac:dyDescent="0.3">
      <c r="A17" s="19" t="s">
        <v>967</v>
      </c>
      <c r="B17" s="28">
        <v>6</v>
      </c>
      <c r="C17" s="21" t="s">
        <v>968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15" customHeight="1" x14ac:dyDescent="0.3">
      <c r="A18" s="19" t="s">
        <v>969</v>
      </c>
      <c r="B18" s="29">
        <v>0.24</v>
      </c>
      <c r="C18" s="3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1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15" customHeight="1" x14ac:dyDescent="0.3">
      <c r="A21" s="69" t="s">
        <v>970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15" customHeight="1" x14ac:dyDescent="0.3">
      <c r="A22" s="32" t="s">
        <v>971</v>
      </c>
      <c r="B22" s="32" t="s">
        <v>408</v>
      </c>
      <c r="C22" s="32" t="s">
        <v>972</v>
      </c>
      <c r="D22" s="32" t="s">
        <v>973</v>
      </c>
      <c r="E22" s="32" t="s">
        <v>974</v>
      </c>
      <c r="F22" s="32" t="s">
        <v>220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15" customHeight="1" x14ac:dyDescent="0.3">
      <c r="A23" s="13" t="s">
        <v>975</v>
      </c>
      <c r="B23" s="13" t="s">
        <v>976</v>
      </c>
      <c r="C23" s="71">
        <f>(B13-B14-B15-B16)*(B7-B6)*1.3</f>
        <v>1365000</v>
      </c>
      <c r="D23" s="89">
        <f ca="1">DATE(YEAR(TODAY())+B6-B5,1,1)</f>
        <v>53328</v>
      </c>
      <c r="E23" s="71">
        <f t="shared" ref="E23:E28" ca="1" si="0">IFERROR(C23/MAX(1,(D23-TODAY())/30.44),0)</f>
        <v>5720.0715859030843</v>
      </c>
      <c r="F23" s="17" t="str">
        <f>IF(B8&gt;=C23,"ON TRACK",IF(B8&gt;=C23*0.7,"NEEDS ATTENTION","AT RISK"))</f>
        <v>AT RISK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15" customHeight="1" x14ac:dyDescent="0.3">
      <c r="A24" s="13" t="s">
        <v>977</v>
      </c>
      <c r="B24" s="13" t="s">
        <v>391</v>
      </c>
      <c r="C24" s="71">
        <f>B12*0.5</f>
        <v>40000</v>
      </c>
      <c r="D24" s="89">
        <f ca="1">TODAY()+365</f>
        <v>46429</v>
      </c>
      <c r="E24" s="71">
        <f t="shared" ca="1" si="0"/>
        <v>3335.8904109589043</v>
      </c>
      <c r="F24" s="17" t="str">
        <f>IF(B8&gt;=C24,"ON TRACK",IF(B8&gt;=C24*0.7,"NEEDS ATTENTION","AT RISK"))</f>
        <v>ON TRACK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15" customHeight="1" x14ac:dyDescent="0.3">
      <c r="A25" s="13" t="s">
        <v>978</v>
      </c>
      <c r="B25" s="13" t="s">
        <v>392</v>
      </c>
      <c r="C25" s="22">
        <v>100000</v>
      </c>
      <c r="D25" s="89">
        <f ca="1">DATE(YEAR(TODAY())+18,1,1)</f>
        <v>52597</v>
      </c>
      <c r="E25" s="71">
        <f t="shared" ca="1" si="0"/>
        <v>465.94213990509724</v>
      </c>
      <c r="F25" s="17" t="str">
        <f>IF(B8&gt;=C25,"ON TRACK",IF(B8&gt;=C25*0.7,"NEEDS ATTENTION","AT RISK"))</f>
        <v>ON TRACK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ht="15" customHeight="1" x14ac:dyDescent="0.3">
      <c r="A26" s="13" t="s">
        <v>979</v>
      </c>
      <c r="B26" s="13" t="s">
        <v>392</v>
      </c>
      <c r="C26" s="22">
        <v>200000</v>
      </c>
      <c r="D26" s="89">
        <f ca="1">DATE(YEAR(TODAY())+5,1,1)</f>
        <v>47849</v>
      </c>
      <c r="E26" s="71">
        <f t="shared" ca="1" si="0"/>
        <v>3410.6442577030816</v>
      </c>
      <c r="F26" s="17" t="str">
        <f>IF(B8&gt;=C26,"ON TRACK",IF(B8&gt;=C26*0.7,"NEEDS ATTENTION","AT RISK"))</f>
        <v>AT RISK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ht="15" customHeight="1" x14ac:dyDescent="0.3">
      <c r="A27" s="13" t="s">
        <v>980</v>
      </c>
      <c r="B27" s="13" t="s">
        <v>396</v>
      </c>
      <c r="C27" s="71">
        <f>B8*5</f>
        <v>500000</v>
      </c>
      <c r="D27" s="89">
        <f ca="1">DATE(YEAR(TODAY())+B7-B5,1,1)</f>
        <v>62459</v>
      </c>
      <c r="E27" s="71">
        <f t="shared" ca="1" si="0"/>
        <v>928.33180847819472</v>
      </c>
      <c r="F27" s="17" t="str">
        <f>IF(B8&gt;=C27,"ON TRACK",IF(B8&gt;=C27*0.7,"NEEDS ATTENTION","AT RISK"))</f>
        <v>AT RISK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15" customHeight="1" x14ac:dyDescent="0.3">
      <c r="A28" s="13" t="s">
        <v>981</v>
      </c>
      <c r="B28" s="13" t="s">
        <v>396</v>
      </c>
      <c r="C28" s="22">
        <v>50000</v>
      </c>
      <c r="D28" s="89">
        <f ca="1">DATE(YEAR(TODAY())+10,1,1)</f>
        <v>49675</v>
      </c>
      <c r="E28" s="71">
        <f t="shared" ca="1" si="0"/>
        <v>421.48989199667687</v>
      </c>
      <c r="F28" s="17" t="str">
        <f>IF(B8&gt;=C28,"ON TRACK",IF(B8&gt;=C28*0.7,"NEEDS ATTENTION","AT RISK"))</f>
        <v>ON TRACK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1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15" customHeight="1" x14ac:dyDescent="0.3">
      <c r="A30" s="69" t="s">
        <v>982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15" customHeight="1" x14ac:dyDescent="0.3">
      <c r="A31" s="19" t="s">
        <v>983</v>
      </c>
      <c r="B31" s="43">
        <f>MAX(0,B6-B5)</f>
        <v>20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15" customHeight="1" x14ac:dyDescent="0.3">
      <c r="A32" s="19" t="s">
        <v>984</v>
      </c>
      <c r="B32" s="43">
        <f>MAX(0,B7-B6)</f>
        <v>25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15" customHeight="1" x14ac:dyDescent="0.3">
      <c r="A33" s="19" t="s">
        <v>985</v>
      </c>
      <c r="B33" s="43">
        <f>MAX(0,B5-B6)</f>
        <v>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15" customHeight="1" x14ac:dyDescent="0.3">
      <c r="A34" s="19" t="s">
        <v>986</v>
      </c>
      <c r="B34" s="47">
        <f>IFERROR((B14+B15+B16)/B12,0)</f>
        <v>0.35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15" customHeight="1" x14ac:dyDescent="0.3">
      <c r="A35" s="19" t="s">
        <v>987</v>
      </c>
      <c r="B35" s="47">
        <f>IFERROR(IF(B5&gt;=B6,MAX(0,(B13-B14-B15-B16))/B8,0),0)</f>
        <v>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17.25" customHeight="1" x14ac:dyDescent="0.3">
      <c r="A37" s="90" t="s">
        <v>988</v>
      </c>
      <c r="B37" s="17" t="str">
        <f>IF(B31&gt;15,"ACCUMULATION",IF(B31&gt;5,"GROWTH",IF(B31&gt;0,"PRESERVATION",IF(B33&lt;=5,"EARLY DISTRIBUTION","MATURE DISTRIBUTION"))))</f>
        <v>ACCUMULATION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15" customHeight="1" x14ac:dyDescent="0.3">
      <c r="A38" s="19" t="s">
        <v>989</v>
      </c>
      <c r="B38" s="2" t="str">
        <f>IF(B37="ACCUMULATION","Maximize contributions &amp; growth. High equity, long horizon.",IF(B37="GROWTH","Balance growth with risk management. Begin diversification.",IF(B37="PRESERVATION","Protect gains. Reduce volatility. Build income foundation.",IF(B37="EARLY DISTRIBUTION","Generate income. Manage sequence-of-returns risk. 4% rule.",IF(B37="MATURE DISTRIBUTION","Sustainable withdrawals. Estate planning. Longevity protection.","")))))</f>
        <v>Maximize contributions &amp; growth. High equity, long horizon.</v>
      </c>
      <c r="C38" s="2"/>
      <c r="D38" s="2"/>
      <c r="E38" s="2"/>
      <c r="F38" s="2"/>
      <c r="G38" s="2"/>
      <c r="H38" s="2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15" customHeight="1" x14ac:dyDescent="0.3">
      <c r="A41" s="69" t="s">
        <v>990</v>
      </c>
      <c r="B41" s="11"/>
      <c r="C41" s="11"/>
      <c r="D41" s="11"/>
      <c r="E41" s="11"/>
      <c r="F41" s="11"/>
      <c r="G41" s="11"/>
      <c r="H41" s="21" t="s">
        <v>991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15" customHeight="1" x14ac:dyDescent="0.3">
      <c r="A42" s="32" t="s">
        <v>412</v>
      </c>
      <c r="B42" s="32" t="s">
        <v>992</v>
      </c>
      <c r="C42" s="32" t="s">
        <v>733</v>
      </c>
      <c r="D42" s="32" t="s">
        <v>993</v>
      </c>
      <c r="E42" s="32" t="s">
        <v>994</v>
      </c>
      <c r="F42" s="32" t="s">
        <v>995</v>
      </c>
      <c r="G42" s="32" t="s">
        <v>996</v>
      </c>
      <c r="H42" s="32" t="s">
        <v>218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15" customHeight="1" x14ac:dyDescent="0.3">
      <c r="A43" s="19" t="s">
        <v>997</v>
      </c>
      <c r="B43" s="92">
        <v>0.35</v>
      </c>
      <c r="C43" s="92">
        <v>0.28000000000000003</v>
      </c>
      <c r="D43" s="92">
        <v>0.18</v>
      </c>
      <c r="E43" s="92">
        <v>0.12</v>
      </c>
      <c r="F43" s="92">
        <v>0.08</v>
      </c>
      <c r="G43" s="47">
        <f t="shared" ref="G43:G55" si="1">IF($B$37="ACCUMULATION",B43,IF($B$37="GROWTH",C43,IF($B$37="PRESERVATION",D43,IF($B$37="EARLY DISTRIBUTION",E43,F43))))</f>
        <v>0.35</v>
      </c>
      <c r="H43" s="23">
        <v>0.35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15" customHeight="1" x14ac:dyDescent="0.3">
      <c r="A44" s="19" t="s">
        <v>998</v>
      </c>
      <c r="B44" s="92">
        <v>0.1</v>
      </c>
      <c r="C44" s="92">
        <v>7.0000000000000007E-2</v>
      </c>
      <c r="D44" s="92">
        <v>0.04</v>
      </c>
      <c r="E44" s="92">
        <v>0.02</v>
      </c>
      <c r="F44" s="92">
        <v>0.01</v>
      </c>
      <c r="G44" s="47">
        <f t="shared" si="1"/>
        <v>0.1</v>
      </c>
      <c r="H44" s="23">
        <v>0.1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15" customHeight="1" x14ac:dyDescent="0.3">
      <c r="A45" s="19" t="s">
        <v>999</v>
      </c>
      <c r="B45" s="92">
        <v>0.12</v>
      </c>
      <c r="C45" s="92">
        <v>0.1</v>
      </c>
      <c r="D45" s="92">
        <v>0.06</v>
      </c>
      <c r="E45" s="92">
        <v>0.04</v>
      </c>
      <c r="F45" s="92">
        <v>0.03</v>
      </c>
      <c r="G45" s="47">
        <f t="shared" si="1"/>
        <v>0.12</v>
      </c>
      <c r="H45" s="23">
        <v>0.12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15" customHeight="1" x14ac:dyDescent="0.3">
      <c r="A46" s="19" t="s">
        <v>419</v>
      </c>
      <c r="B46" s="92">
        <v>0.08</v>
      </c>
      <c r="C46" s="92">
        <v>0.05</v>
      </c>
      <c r="D46" s="92">
        <v>0.02</v>
      </c>
      <c r="E46" s="92">
        <v>0.01</v>
      </c>
      <c r="F46" s="92">
        <v>0</v>
      </c>
      <c r="G46" s="47">
        <f t="shared" si="1"/>
        <v>0.08</v>
      </c>
      <c r="H46" s="23">
        <v>0.08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15" customHeight="1" x14ac:dyDescent="0.3">
      <c r="A47" s="19" t="s">
        <v>728</v>
      </c>
      <c r="B47" s="92">
        <v>0.05</v>
      </c>
      <c r="C47" s="92">
        <v>0.12</v>
      </c>
      <c r="D47" s="92">
        <v>0.22</v>
      </c>
      <c r="E47" s="92">
        <v>0.28000000000000003</v>
      </c>
      <c r="F47" s="92">
        <v>0.32</v>
      </c>
      <c r="G47" s="47">
        <f t="shared" si="1"/>
        <v>0.05</v>
      </c>
      <c r="H47" s="23">
        <v>0.05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15" customHeight="1" x14ac:dyDescent="0.3">
      <c r="A48" s="19" t="s">
        <v>421</v>
      </c>
      <c r="B48" s="92">
        <v>0.02</v>
      </c>
      <c r="C48" s="92">
        <v>0.04</v>
      </c>
      <c r="D48" s="92">
        <v>0.08</v>
      </c>
      <c r="E48" s="92">
        <v>0.1</v>
      </c>
      <c r="F48" s="92">
        <v>0.12</v>
      </c>
      <c r="G48" s="47">
        <f t="shared" si="1"/>
        <v>0.02</v>
      </c>
      <c r="H48" s="23">
        <v>0.02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ht="15" customHeight="1" x14ac:dyDescent="0.3">
      <c r="A49" s="19" t="s">
        <v>1000</v>
      </c>
      <c r="B49" s="92">
        <v>0.02</v>
      </c>
      <c r="C49" s="92">
        <v>0.03</v>
      </c>
      <c r="D49" s="92">
        <v>0.05</v>
      </c>
      <c r="E49" s="92">
        <v>0.08</v>
      </c>
      <c r="F49" s="92">
        <v>0.1</v>
      </c>
      <c r="G49" s="47">
        <f t="shared" si="1"/>
        <v>0.02</v>
      </c>
      <c r="H49" s="23">
        <v>0.02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ht="15" customHeight="1" x14ac:dyDescent="0.3">
      <c r="A50" s="19" t="s">
        <v>1001</v>
      </c>
      <c r="B50" s="92">
        <v>0.05</v>
      </c>
      <c r="C50" s="92">
        <v>0.06</v>
      </c>
      <c r="D50" s="92">
        <v>0.06</v>
      </c>
      <c r="E50" s="92">
        <v>0.05</v>
      </c>
      <c r="F50" s="92">
        <v>0.04</v>
      </c>
      <c r="G50" s="47">
        <f t="shared" si="1"/>
        <v>0.05</v>
      </c>
      <c r="H50" s="23">
        <v>0.05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ht="15" customHeight="1" x14ac:dyDescent="0.3">
      <c r="A51" s="19" t="s">
        <v>422</v>
      </c>
      <c r="B51" s="92">
        <v>0.05</v>
      </c>
      <c r="C51" s="92">
        <v>0.05</v>
      </c>
      <c r="D51" s="92">
        <v>0.05</v>
      </c>
      <c r="E51" s="92">
        <v>0.05</v>
      </c>
      <c r="F51" s="92">
        <v>0.04</v>
      </c>
      <c r="G51" s="47">
        <f t="shared" si="1"/>
        <v>0.05</v>
      </c>
      <c r="H51" s="23">
        <v>0.05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15" customHeight="1" x14ac:dyDescent="0.3">
      <c r="A52" s="19" t="s">
        <v>424</v>
      </c>
      <c r="B52" s="92">
        <v>0.08</v>
      </c>
      <c r="C52" s="92">
        <v>0.08</v>
      </c>
      <c r="D52" s="92">
        <v>0.08</v>
      </c>
      <c r="E52" s="92">
        <v>0.06</v>
      </c>
      <c r="F52" s="92">
        <v>0.04</v>
      </c>
      <c r="G52" s="47">
        <f t="shared" si="1"/>
        <v>0.08</v>
      </c>
      <c r="H52" s="23">
        <v>0.08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15" customHeight="1" x14ac:dyDescent="0.3">
      <c r="A53" s="19" t="s">
        <v>425</v>
      </c>
      <c r="B53" s="92">
        <v>0.02</v>
      </c>
      <c r="C53" s="92">
        <v>0.03</v>
      </c>
      <c r="D53" s="92">
        <v>0.04</v>
      </c>
      <c r="E53" s="92">
        <v>0.05</v>
      </c>
      <c r="F53" s="92">
        <v>0.06</v>
      </c>
      <c r="G53" s="47">
        <f t="shared" si="1"/>
        <v>0.02</v>
      </c>
      <c r="H53" s="23">
        <v>0.02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ht="15" customHeight="1" x14ac:dyDescent="0.3">
      <c r="A54" s="19" t="s">
        <v>730</v>
      </c>
      <c r="B54" s="92">
        <v>0.02</v>
      </c>
      <c r="C54" s="92">
        <v>0.05</v>
      </c>
      <c r="D54" s="92">
        <v>0.08</v>
      </c>
      <c r="E54" s="92">
        <v>0.1</v>
      </c>
      <c r="F54" s="92">
        <v>0.12</v>
      </c>
      <c r="G54" s="47">
        <f t="shared" si="1"/>
        <v>0.02</v>
      </c>
      <c r="H54" s="23">
        <v>0.02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15" customHeight="1" x14ac:dyDescent="0.3">
      <c r="A55" s="19" t="s">
        <v>1002</v>
      </c>
      <c r="B55" s="92">
        <v>0.04</v>
      </c>
      <c r="C55" s="92">
        <v>0.04</v>
      </c>
      <c r="D55" s="92">
        <v>0.04</v>
      </c>
      <c r="E55" s="92">
        <v>0.04</v>
      </c>
      <c r="F55" s="92">
        <v>0.04</v>
      </c>
      <c r="G55" s="47">
        <f t="shared" si="1"/>
        <v>0.04</v>
      </c>
      <c r="H55" s="23">
        <v>0.04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ht="15" customHeight="1" x14ac:dyDescent="0.3">
      <c r="A56" s="46" t="s">
        <v>427</v>
      </c>
      <c r="B56" s="47">
        <f t="shared" ref="B56:H56" si="2">SUM(B43:B55)</f>
        <v>1</v>
      </c>
      <c r="C56" s="47">
        <f t="shared" si="2"/>
        <v>1.0000000000000002</v>
      </c>
      <c r="D56" s="47">
        <f t="shared" si="2"/>
        <v>1</v>
      </c>
      <c r="E56" s="47">
        <f t="shared" si="2"/>
        <v>1</v>
      </c>
      <c r="F56" s="47">
        <f t="shared" si="2"/>
        <v>1</v>
      </c>
      <c r="G56" s="47">
        <f t="shared" si="2"/>
        <v>1</v>
      </c>
      <c r="H56" s="47">
        <f t="shared" si="2"/>
        <v>1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15" customHeight="1" x14ac:dyDescent="0.3">
      <c r="A57" s="19" t="s">
        <v>742</v>
      </c>
      <c r="B57" s="11"/>
      <c r="C57" s="11"/>
      <c r="D57" s="11"/>
      <c r="E57" s="11"/>
      <c r="F57" s="11"/>
      <c r="G57" s="47">
        <f>SUM(G43:G46)</f>
        <v>0.64999999999999991</v>
      </c>
      <c r="H57" s="47">
        <f>SUM(H43:H46)</f>
        <v>0.64999999999999991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15" customHeight="1" x14ac:dyDescent="0.3">
      <c r="A58" s="19" t="s">
        <v>562</v>
      </c>
      <c r="B58" s="11"/>
      <c r="C58" s="11"/>
      <c r="D58" s="11"/>
      <c r="E58" s="11"/>
      <c r="F58" s="11"/>
      <c r="G58" s="47">
        <f>SUM(G47:G49)</f>
        <v>9.0000000000000011E-2</v>
      </c>
      <c r="H58" s="47">
        <f>SUM(H47:H49)</f>
        <v>9.0000000000000011E-2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15" customHeight="1" x14ac:dyDescent="0.3">
      <c r="A59" s="19" t="s">
        <v>588</v>
      </c>
      <c r="B59" s="11"/>
      <c r="C59" s="11"/>
      <c r="D59" s="11"/>
      <c r="E59" s="11"/>
      <c r="F59" s="11"/>
      <c r="G59" s="47">
        <f>SUM(G50:G55)</f>
        <v>0.25999999999999995</v>
      </c>
      <c r="H59" s="47">
        <f>SUM(H50:H55)</f>
        <v>0.25999999999999995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ht="15" customHeight="1" x14ac:dyDescent="0.3">
      <c r="A60" s="19" t="s">
        <v>1003</v>
      </c>
      <c r="B60" s="47">
        <f>SUMPRODUCT(ABS(G43:G55-H43:H55))/2</f>
        <v>0</v>
      </c>
      <c r="C60" s="21" t="s">
        <v>1004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15" customHeight="1" x14ac:dyDescent="0.3">
      <c r="A63" s="69" t="s">
        <v>1005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ht="15" customHeight="1" x14ac:dyDescent="0.3">
      <c r="A64" s="46" t="s">
        <v>1006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15" customHeight="1" x14ac:dyDescent="0.3">
      <c r="A65" s="19" t="s">
        <v>1007</v>
      </c>
      <c r="B65" s="23">
        <v>0.04</v>
      </c>
      <c r="C65" s="21" t="s">
        <v>1008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15" customHeight="1" x14ac:dyDescent="0.3">
      <c r="A66" s="19" t="s">
        <v>1009</v>
      </c>
      <c r="B66" s="23">
        <v>2.5000000000000001E-2</v>
      </c>
      <c r="C66" s="21" t="s">
        <v>1010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ht="15" customHeight="1" x14ac:dyDescent="0.3">
      <c r="A67" s="19" t="s">
        <v>1011</v>
      </c>
      <c r="B67" s="23">
        <v>5.5E-2</v>
      </c>
      <c r="C67" s="21" t="s">
        <v>1012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ht="15" customHeight="1" x14ac:dyDescent="0.3">
      <c r="A68" s="19" t="s">
        <v>1013</v>
      </c>
      <c r="B68" s="23">
        <v>0.03</v>
      </c>
      <c r="C68" s="21" t="s">
        <v>1014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ht="15" customHeight="1" x14ac:dyDescent="0.3">
      <c r="A69" s="19" t="s">
        <v>1015</v>
      </c>
      <c r="B69" s="28">
        <v>2</v>
      </c>
      <c r="C69" s="21" t="s">
        <v>1016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ht="15" customHeight="1" x14ac:dyDescent="0.3">
      <c r="A70" s="19" t="s">
        <v>1017</v>
      </c>
      <c r="B70" s="23">
        <v>0.15</v>
      </c>
      <c r="C70" s="21" t="s">
        <v>1018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ht="15" customHeight="1" x14ac:dyDescent="0.3">
      <c r="A71" s="19" t="s">
        <v>1019</v>
      </c>
      <c r="B71" s="28">
        <v>24</v>
      </c>
      <c r="C71" s="21" t="s">
        <v>1020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ht="15" customHeight="1" x14ac:dyDescent="0.3">
      <c r="A74" s="69" t="s">
        <v>1021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ht="15" customHeight="1" x14ac:dyDescent="0.3">
      <c r="A75" s="32" t="s">
        <v>689</v>
      </c>
      <c r="B75" s="32" t="s">
        <v>1022</v>
      </c>
      <c r="C75" s="32" t="s">
        <v>1023</v>
      </c>
      <c r="D75" s="32" t="s">
        <v>1024</v>
      </c>
      <c r="E75" s="32" t="s">
        <v>1025</v>
      </c>
      <c r="F75" s="32" t="s">
        <v>1026</v>
      </c>
      <c r="G75" s="32" t="s">
        <v>1027</v>
      </c>
      <c r="H75" s="32" t="s">
        <v>1028</v>
      </c>
      <c r="I75" s="32" t="s">
        <v>1029</v>
      </c>
      <c r="J75" s="32" t="s">
        <v>220</v>
      </c>
      <c r="K75" s="11"/>
      <c r="L75" s="11"/>
      <c r="M75" s="11"/>
      <c r="N75" s="11"/>
      <c r="O75" s="11"/>
      <c r="P75" s="11"/>
      <c r="Q75" s="11"/>
      <c r="R75" s="11"/>
    </row>
    <row r="76" spans="1:18" ht="15" customHeight="1" x14ac:dyDescent="0.3">
      <c r="A76" s="43">
        <v>1</v>
      </c>
      <c r="B76" s="43">
        <f>MAX(B5,B6)+0</f>
        <v>65</v>
      </c>
      <c r="C76" s="60">
        <f>'Data Input'!B8</f>
        <v>100000</v>
      </c>
      <c r="D76" s="71">
        <f>MIN(C76*$B$67,MAX(C76*$B$68,C76*$B$65*(1+$B$66)^(0)))</f>
        <v>4000</v>
      </c>
      <c r="E76" s="47">
        <f t="shared" ref="E76:E95" si="3">IFERROR(D76/C76,0)</f>
        <v>0.04</v>
      </c>
      <c r="F76" s="71">
        <f ca="1">IFERROR((C76-D76)*Dashboard!C5,0)</f>
        <v>0</v>
      </c>
      <c r="G76" s="71">
        <f t="shared" ref="G76:G95" ca="1" si="4">MAX(0,C76-D76+F76)</f>
        <v>96000</v>
      </c>
      <c r="H76" s="71">
        <f>D76</f>
        <v>4000</v>
      </c>
      <c r="I76" s="48">
        <f t="shared" ref="I76:I95" ca="1" si="5">IFERROR(IF(D76=0,"∞",ROUND(G76/D76,1)),0)</f>
        <v>24</v>
      </c>
      <c r="J76" s="17" t="str">
        <f t="shared" ref="J76:J95" ca="1" si="6">IF(G76&lt;=0,"⚠ DEPLETED",IF(E76&gt;$B$67,"⚠ OVER GUARDRAIL",IF(I76&lt;5,"⚠ LOW RUNWAY","OK")))</f>
        <v>OK</v>
      </c>
      <c r="K76" s="11"/>
      <c r="L76" s="11"/>
      <c r="M76" s="11"/>
      <c r="N76" s="11"/>
      <c r="O76" s="11"/>
      <c r="P76" s="11"/>
      <c r="Q76" s="11"/>
      <c r="R76" s="11"/>
    </row>
    <row r="77" spans="1:18" ht="15" customHeight="1" x14ac:dyDescent="0.3">
      <c r="A77" s="43">
        <v>2</v>
      </c>
      <c r="B77" s="43">
        <f>MAX(B5,B6)+1</f>
        <v>66</v>
      </c>
      <c r="C77" s="71">
        <f t="shared" ref="C77:C95" ca="1" si="7">G76</f>
        <v>96000</v>
      </c>
      <c r="D77" s="71">
        <f ca="1">MIN(C77*$B$67,MAX(C77*$B$68,C77*$B$65*(1+$B$66)^(1)))</f>
        <v>3935.9999999999995</v>
      </c>
      <c r="E77" s="47">
        <f t="shared" ca="1" si="3"/>
        <v>4.0999999999999995E-2</v>
      </c>
      <c r="F77" s="71">
        <f ca="1">IFERROR((C77-D77)*Dashboard!C5,0)</f>
        <v>0</v>
      </c>
      <c r="G77" s="71">
        <f t="shared" ca="1" si="4"/>
        <v>92064</v>
      </c>
      <c r="H77" s="71">
        <f t="shared" ref="H77:H95" ca="1" si="8">H76+D77</f>
        <v>7936</v>
      </c>
      <c r="I77" s="48">
        <f t="shared" ca="1" si="5"/>
        <v>23.4</v>
      </c>
      <c r="J77" s="17" t="str">
        <f t="shared" ca="1" si="6"/>
        <v>OK</v>
      </c>
      <c r="K77" s="11"/>
      <c r="L77" s="11"/>
      <c r="M77" s="11"/>
      <c r="N77" s="11"/>
      <c r="O77" s="11"/>
      <c r="P77" s="11"/>
      <c r="Q77" s="11"/>
      <c r="R77" s="11"/>
    </row>
    <row r="78" spans="1:18" ht="15" customHeight="1" x14ac:dyDescent="0.3">
      <c r="A78" s="43">
        <v>3</v>
      </c>
      <c r="B78" s="43">
        <f>MAX(B5,B6)+2</f>
        <v>67</v>
      </c>
      <c r="C78" s="71">
        <f t="shared" ca="1" si="7"/>
        <v>92064</v>
      </c>
      <c r="D78" s="71">
        <f ca="1">MIN(C78*$B$67,MAX(C78*$B$68,C78*$B$65*(1+$B$66)^(2)))</f>
        <v>3868.9895999999994</v>
      </c>
      <c r="E78" s="47">
        <f t="shared" ca="1" si="3"/>
        <v>4.2024999999999993E-2</v>
      </c>
      <c r="F78" s="71">
        <f ca="1">IFERROR((C78-D78)*Dashboard!C5,0)</f>
        <v>0</v>
      </c>
      <c r="G78" s="71">
        <f t="shared" ca="1" si="4"/>
        <v>88195.010399999999</v>
      </c>
      <c r="H78" s="71">
        <f t="shared" ca="1" si="8"/>
        <v>11804.989599999999</v>
      </c>
      <c r="I78" s="48">
        <f t="shared" ca="1" si="5"/>
        <v>22.8</v>
      </c>
      <c r="J78" s="17" t="str">
        <f t="shared" ca="1" si="6"/>
        <v>OK</v>
      </c>
      <c r="K78" s="11"/>
      <c r="L78" s="11"/>
      <c r="M78" s="11"/>
      <c r="N78" s="11"/>
      <c r="O78" s="11"/>
      <c r="P78" s="11"/>
      <c r="Q78" s="11"/>
      <c r="R78" s="11"/>
    </row>
    <row r="79" spans="1:18" ht="15" customHeight="1" x14ac:dyDescent="0.3">
      <c r="A79" s="43">
        <v>4</v>
      </c>
      <c r="B79" s="43">
        <f>MAX(B5,B6)+3</f>
        <v>68</v>
      </c>
      <c r="C79" s="71">
        <f t="shared" ca="1" si="7"/>
        <v>88195.010399999999</v>
      </c>
      <c r="D79" s="71">
        <f ca="1">MIN(C79*$B$67,MAX(C79*$B$68,C79*$B$65*(1+$B$66)^(3)))</f>
        <v>3799.0551948614998</v>
      </c>
      <c r="E79" s="47">
        <f t="shared" ca="1" si="3"/>
        <v>4.3075624999999999E-2</v>
      </c>
      <c r="F79" s="71">
        <f ca="1">IFERROR((C79-D79)*Dashboard!C5,0)</f>
        <v>0</v>
      </c>
      <c r="G79" s="71">
        <f t="shared" ca="1" si="4"/>
        <v>84395.955205138496</v>
      </c>
      <c r="H79" s="71">
        <f t="shared" ca="1" si="8"/>
        <v>15604.044794861498</v>
      </c>
      <c r="I79" s="48">
        <f t="shared" ca="1" si="5"/>
        <v>22.2</v>
      </c>
      <c r="J79" s="17" t="str">
        <f t="shared" ca="1" si="6"/>
        <v>OK</v>
      </c>
      <c r="K79" s="11"/>
      <c r="L79" s="11"/>
      <c r="M79" s="11"/>
      <c r="N79" s="11"/>
      <c r="O79" s="11"/>
      <c r="P79" s="11"/>
      <c r="Q79" s="11"/>
      <c r="R79" s="11"/>
    </row>
    <row r="80" spans="1:18" ht="15" customHeight="1" x14ac:dyDescent="0.3">
      <c r="A80" s="43">
        <v>5</v>
      </c>
      <c r="B80" s="43">
        <f>MAX(B5,B6)+4</f>
        <v>69</v>
      </c>
      <c r="C80" s="71">
        <f t="shared" ca="1" si="7"/>
        <v>84395.955205138496</v>
      </c>
      <c r="D80" s="71">
        <f ca="1">MIN(C80*$B$67,MAX(C80*$B$68,C80*$B$65*(1+$B$66)^(4)))</f>
        <v>3726.2937308816768</v>
      </c>
      <c r="E80" s="47">
        <f t="shared" ca="1" si="3"/>
        <v>4.4152515624999993E-2</v>
      </c>
      <c r="F80" s="71">
        <f ca="1">IFERROR((C80-D80)*Dashboard!C5,0)</f>
        <v>0</v>
      </c>
      <c r="G80" s="71">
        <f t="shared" ca="1" si="4"/>
        <v>80669.66147425682</v>
      </c>
      <c r="H80" s="71">
        <f t="shared" ca="1" si="8"/>
        <v>19330.338525743176</v>
      </c>
      <c r="I80" s="48">
        <f t="shared" ca="1" si="5"/>
        <v>21.6</v>
      </c>
      <c r="J80" s="17" t="str">
        <f t="shared" ca="1" si="6"/>
        <v>OK</v>
      </c>
      <c r="K80" s="11"/>
      <c r="L80" s="11"/>
      <c r="M80" s="11"/>
      <c r="N80" s="11"/>
      <c r="O80" s="11"/>
      <c r="P80" s="11"/>
      <c r="Q80" s="11"/>
      <c r="R80" s="11"/>
    </row>
    <row r="81" spans="1:18" ht="15" customHeight="1" x14ac:dyDescent="0.3">
      <c r="A81" s="43">
        <v>6</v>
      </c>
      <c r="B81" s="43">
        <f>MAX(B5,B6)+5</f>
        <v>70</v>
      </c>
      <c r="C81" s="71">
        <f t="shared" ca="1" si="7"/>
        <v>80669.66147425682</v>
      </c>
      <c r="D81" s="71">
        <f ca="1">MIN(C81*$B$67,MAX(C81*$B$68,C81*$B$65*(1+$B$66)^(5)))</f>
        <v>3650.8127009232235</v>
      </c>
      <c r="E81" s="47">
        <f t="shared" ca="1" si="3"/>
        <v>4.5256328515624986E-2</v>
      </c>
      <c r="F81" s="71">
        <f ca="1">IFERROR((C81-D81)*Dashboard!C5,0)</f>
        <v>0</v>
      </c>
      <c r="G81" s="71">
        <f t="shared" ca="1" si="4"/>
        <v>77018.848773333593</v>
      </c>
      <c r="H81" s="71">
        <f t="shared" ca="1" si="8"/>
        <v>22981.151226666399</v>
      </c>
      <c r="I81" s="48">
        <f t="shared" ca="1" si="5"/>
        <v>21.1</v>
      </c>
      <c r="J81" s="17" t="str">
        <f t="shared" ca="1" si="6"/>
        <v>OK</v>
      </c>
      <c r="K81" s="11"/>
      <c r="L81" s="11"/>
      <c r="M81" s="11"/>
      <c r="N81" s="11"/>
      <c r="O81" s="11"/>
      <c r="P81" s="11"/>
      <c r="Q81" s="11"/>
      <c r="R81" s="11"/>
    </row>
    <row r="82" spans="1:18" ht="15" customHeight="1" x14ac:dyDescent="0.3">
      <c r="A82" s="43">
        <v>7</v>
      </c>
      <c r="B82" s="43">
        <f>MAX(B5,B6)+6</f>
        <v>71</v>
      </c>
      <c r="C82" s="71">
        <f t="shared" ca="1" si="7"/>
        <v>77018.848773333593</v>
      </c>
      <c r="D82" s="71">
        <f ca="1">MIN(C82*$B$67,MAX(C82*$B$68,C82*$B$65*(1+$B$66)^(6)))</f>
        <v>3572.7300800307557</v>
      </c>
      <c r="E82" s="47">
        <f t="shared" ca="1" si="3"/>
        <v>4.6387736728515608E-2</v>
      </c>
      <c r="F82" s="71">
        <f ca="1">IFERROR((C82-D82)*Dashboard!C5,0)</f>
        <v>0</v>
      </c>
      <c r="G82" s="71">
        <f t="shared" ca="1" si="4"/>
        <v>73446.118693302837</v>
      </c>
      <c r="H82" s="71">
        <f t="shared" ca="1" si="8"/>
        <v>26553.881306697156</v>
      </c>
      <c r="I82" s="48">
        <f t="shared" ca="1" si="5"/>
        <v>20.6</v>
      </c>
      <c r="J82" s="17" t="str">
        <f t="shared" ca="1" si="6"/>
        <v>OK</v>
      </c>
      <c r="K82" s="11"/>
      <c r="L82" s="11"/>
      <c r="M82" s="11"/>
      <c r="N82" s="11"/>
      <c r="O82" s="11"/>
      <c r="P82" s="11"/>
      <c r="Q82" s="11"/>
      <c r="R82" s="11"/>
    </row>
    <row r="83" spans="1:18" ht="15" customHeight="1" x14ac:dyDescent="0.3">
      <c r="A83" s="43">
        <v>8</v>
      </c>
      <c r="B83" s="43">
        <f>MAX(B5,B6)+7</f>
        <v>72</v>
      </c>
      <c r="C83" s="71">
        <f t="shared" ca="1" si="7"/>
        <v>73446.118693302837</v>
      </c>
      <c r="D83" s="71">
        <f ca="1">MIN(C83*$B$67,MAX(C83*$B$68,C83*$B$65*(1+$B$66)^(7)))</f>
        <v>3492.1741981181467</v>
      </c>
      <c r="E83" s="47">
        <f t="shared" ca="1" si="3"/>
        <v>4.7547430146728499E-2</v>
      </c>
      <c r="F83" s="71">
        <f ca="1">IFERROR((C83-D83)*Dashboard!C5,0)</f>
        <v>0</v>
      </c>
      <c r="G83" s="71">
        <f t="shared" ca="1" si="4"/>
        <v>69953.944495184696</v>
      </c>
      <c r="H83" s="71">
        <f t="shared" ca="1" si="8"/>
        <v>30046.055504815304</v>
      </c>
      <c r="I83" s="48">
        <f t="shared" ca="1" si="5"/>
        <v>20</v>
      </c>
      <c r="J83" s="17" t="str">
        <f t="shared" ca="1" si="6"/>
        <v>OK</v>
      </c>
      <c r="K83" s="11"/>
      <c r="L83" s="11"/>
      <c r="M83" s="11"/>
      <c r="N83" s="11"/>
      <c r="O83" s="11"/>
      <c r="P83" s="11"/>
      <c r="Q83" s="11"/>
      <c r="R83" s="11"/>
    </row>
    <row r="84" spans="1:18" ht="15" customHeight="1" x14ac:dyDescent="0.3">
      <c r="A84" s="43">
        <v>9</v>
      </c>
      <c r="B84" s="43">
        <f>MAX(B5,B6)+8</f>
        <v>73</v>
      </c>
      <c r="C84" s="71">
        <f t="shared" ca="1" si="7"/>
        <v>69953.944495184696</v>
      </c>
      <c r="D84" s="71">
        <f ca="1">MIN(C84*$B$67,MAX(C84*$B$68,C84*$B$65*(1+$B$66)^(8)))</f>
        <v>3409.2835466072402</v>
      </c>
      <c r="E84" s="47">
        <f t="shared" ca="1" si="3"/>
        <v>4.8736115900396719E-2</v>
      </c>
      <c r="F84" s="71">
        <f ca="1">IFERROR((C84-D84)*Dashboard!C5,0)</f>
        <v>0</v>
      </c>
      <c r="G84" s="71">
        <f t="shared" ca="1" si="4"/>
        <v>66544.660948577453</v>
      </c>
      <c r="H84" s="71">
        <f t="shared" ca="1" si="8"/>
        <v>33455.339051422547</v>
      </c>
      <c r="I84" s="48">
        <f t="shared" ca="1" si="5"/>
        <v>19.5</v>
      </c>
      <c r="J84" s="17" t="str">
        <f t="shared" ca="1" si="6"/>
        <v>OK</v>
      </c>
      <c r="K84" s="11"/>
      <c r="L84" s="11"/>
      <c r="M84" s="11"/>
      <c r="N84" s="11"/>
      <c r="O84" s="11"/>
      <c r="P84" s="11"/>
      <c r="Q84" s="11"/>
      <c r="R84" s="11"/>
    </row>
    <row r="85" spans="1:18" ht="15" customHeight="1" x14ac:dyDescent="0.3">
      <c r="A85" s="43">
        <v>10</v>
      </c>
      <c r="B85" s="43">
        <f>MAX(B5,B6)+9</f>
        <v>74</v>
      </c>
      <c r="C85" s="71">
        <f t="shared" ca="1" si="7"/>
        <v>66544.660948577453</v>
      </c>
      <c r="D85" s="71">
        <f ca="1">MIN(C85*$B$67,MAX(C85*$B$68,C85*$B$65*(1+$B$66)^(9)))</f>
        <v>3324.2065162560348</v>
      </c>
      <c r="E85" s="47">
        <f t="shared" ca="1" si="3"/>
        <v>4.9954518797906619E-2</v>
      </c>
      <c r="F85" s="71">
        <f ca="1">IFERROR((C85-D85)*Dashboard!C5,0)</f>
        <v>0</v>
      </c>
      <c r="G85" s="71">
        <f t="shared" ca="1" si="4"/>
        <v>63220.454432321421</v>
      </c>
      <c r="H85" s="71">
        <f t="shared" ca="1" si="8"/>
        <v>36779.545567678579</v>
      </c>
      <c r="I85" s="48">
        <f t="shared" ca="1" si="5"/>
        <v>19</v>
      </c>
      <c r="J85" s="17" t="str">
        <f t="shared" ca="1" si="6"/>
        <v>OK</v>
      </c>
      <c r="K85" s="11"/>
      <c r="L85" s="11"/>
      <c r="M85" s="11"/>
      <c r="N85" s="11"/>
      <c r="O85" s="11"/>
      <c r="P85" s="11"/>
      <c r="Q85" s="11"/>
      <c r="R85" s="11"/>
    </row>
    <row r="86" spans="1:18" ht="15" customHeight="1" x14ac:dyDescent="0.3">
      <c r="A86" s="43">
        <v>11</v>
      </c>
      <c r="B86" s="43">
        <f>MAX(B5,B6)+10</f>
        <v>75</v>
      </c>
      <c r="C86" s="71">
        <f t="shared" ca="1" si="7"/>
        <v>63220.454432321421</v>
      </c>
      <c r="D86" s="71">
        <f ca="1">MIN(C86*$B$67,MAX(C86*$B$68,C86*$B$65*(1+$B$66)^(10)))</f>
        <v>3237.1010638353891</v>
      </c>
      <c r="E86" s="47">
        <f t="shared" ca="1" si="3"/>
        <v>5.1203381767854279E-2</v>
      </c>
      <c r="F86" s="71">
        <f ca="1">IFERROR((C86-D86)*Dashboard!C5,0)</f>
        <v>0</v>
      </c>
      <c r="G86" s="71">
        <f t="shared" ca="1" si="4"/>
        <v>59983.35336848603</v>
      </c>
      <c r="H86" s="71">
        <f t="shared" ca="1" si="8"/>
        <v>40016.64663151397</v>
      </c>
      <c r="I86" s="48">
        <f t="shared" ca="1" si="5"/>
        <v>18.5</v>
      </c>
      <c r="J86" s="17" t="str">
        <f t="shared" ca="1" si="6"/>
        <v>OK</v>
      </c>
      <c r="K86" s="11"/>
      <c r="L86" s="11"/>
      <c r="M86" s="11"/>
      <c r="N86" s="11"/>
      <c r="O86" s="11"/>
      <c r="P86" s="11"/>
      <c r="Q86" s="11"/>
      <c r="R86" s="11"/>
    </row>
    <row r="87" spans="1:18" ht="15" customHeight="1" x14ac:dyDescent="0.3">
      <c r="A87" s="43">
        <v>12</v>
      </c>
      <c r="B87" s="43">
        <f>MAX(B5,B6)+11</f>
        <v>76</v>
      </c>
      <c r="C87" s="71">
        <f t="shared" ca="1" si="7"/>
        <v>59983.35336848603</v>
      </c>
      <c r="D87" s="71">
        <f ca="1">MIN(C87*$B$67,MAX(C87*$B$68,C87*$B$65*(1+$B$66)^(11)))</f>
        <v>3148.1343057987656</v>
      </c>
      <c r="E87" s="47">
        <f t="shared" ca="1" si="3"/>
        <v>5.2483466312050635E-2</v>
      </c>
      <c r="F87" s="71">
        <f ca="1">IFERROR((C87-D87)*Dashboard!C5,0)</f>
        <v>0</v>
      </c>
      <c r="G87" s="71">
        <f t="shared" ca="1" si="4"/>
        <v>56835.219062687262</v>
      </c>
      <c r="H87" s="71">
        <f t="shared" ca="1" si="8"/>
        <v>43164.780937312738</v>
      </c>
      <c r="I87" s="48">
        <f t="shared" ca="1" si="5"/>
        <v>18.100000000000001</v>
      </c>
      <c r="J87" s="17" t="str">
        <f t="shared" ca="1" si="6"/>
        <v>OK</v>
      </c>
      <c r="K87" s="11"/>
      <c r="L87" s="11"/>
      <c r="M87" s="11"/>
      <c r="N87" s="11"/>
      <c r="O87" s="11"/>
      <c r="P87" s="11"/>
      <c r="Q87" s="11"/>
      <c r="R87" s="11"/>
    </row>
    <row r="88" spans="1:18" ht="15" customHeight="1" x14ac:dyDescent="0.3">
      <c r="A88" s="43">
        <v>13</v>
      </c>
      <c r="B88" s="43">
        <f>MAX(B5,B6)+12</f>
        <v>77</v>
      </c>
      <c r="C88" s="71">
        <f t="shared" ca="1" si="7"/>
        <v>56835.219062687262</v>
      </c>
      <c r="D88" s="71">
        <f ca="1">MIN(C88*$B$67,MAX(C88*$B$68,C88*$B$65*(1+$B$66)^(12)))</f>
        <v>3057.4820376399289</v>
      </c>
      <c r="E88" s="47">
        <f t="shared" ca="1" si="3"/>
        <v>5.3795552969851897E-2</v>
      </c>
      <c r="F88" s="71">
        <f ca="1">IFERROR((C88-D88)*Dashboard!C5,0)</f>
        <v>0</v>
      </c>
      <c r="G88" s="71">
        <f t="shared" ca="1" si="4"/>
        <v>53777.737025047332</v>
      </c>
      <c r="H88" s="71">
        <f t="shared" ca="1" si="8"/>
        <v>46222.262974952668</v>
      </c>
      <c r="I88" s="48">
        <f t="shared" ca="1" si="5"/>
        <v>17.600000000000001</v>
      </c>
      <c r="J88" s="17" t="str">
        <f t="shared" ca="1" si="6"/>
        <v>OK</v>
      </c>
      <c r="K88" s="11"/>
      <c r="L88" s="11"/>
      <c r="M88" s="11"/>
      <c r="N88" s="11"/>
      <c r="O88" s="11"/>
      <c r="P88" s="11"/>
      <c r="Q88" s="11"/>
      <c r="R88" s="11"/>
    </row>
    <row r="89" spans="1:18" ht="15" customHeight="1" x14ac:dyDescent="0.3">
      <c r="A89" s="43">
        <v>14</v>
      </c>
      <c r="B89" s="43">
        <f>MAX(B5,B6)+13</f>
        <v>78</v>
      </c>
      <c r="C89" s="71">
        <f t="shared" ca="1" si="7"/>
        <v>53777.737025047332</v>
      </c>
      <c r="D89" s="71">
        <f ca="1">MIN(C89*$B$67,MAX(C89*$B$68,C89*$B$65*(1+$B$66)^(13)))</f>
        <v>2957.7755363776032</v>
      </c>
      <c r="E89" s="47">
        <f t="shared" ca="1" si="3"/>
        <v>5.5E-2</v>
      </c>
      <c r="F89" s="71">
        <f ca="1">IFERROR((C89-D89)*Dashboard!C5,0)</f>
        <v>0</v>
      </c>
      <c r="G89" s="71">
        <f t="shared" ca="1" si="4"/>
        <v>50819.961488669731</v>
      </c>
      <c r="H89" s="71">
        <f t="shared" ca="1" si="8"/>
        <v>49180.038511330269</v>
      </c>
      <c r="I89" s="48">
        <f t="shared" ca="1" si="5"/>
        <v>17.2</v>
      </c>
      <c r="J89" s="17" t="str">
        <f t="shared" ca="1" si="6"/>
        <v>OK</v>
      </c>
      <c r="K89" s="11"/>
      <c r="L89" s="11"/>
      <c r="M89" s="11"/>
      <c r="N89" s="11"/>
      <c r="O89" s="11"/>
      <c r="P89" s="11"/>
      <c r="Q89" s="11"/>
      <c r="R89" s="11"/>
    </row>
    <row r="90" spans="1:18" ht="15" customHeight="1" x14ac:dyDescent="0.3">
      <c r="A90" s="43">
        <v>15</v>
      </c>
      <c r="B90" s="43">
        <f>MAX(B5,B6)+14</f>
        <v>79</v>
      </c>
      <c r="C90" s="71">
        <f t="shared" ca="1" si="7"/>
        <v>50819.961488669731</v>
      </c>
      <c r="D90" s="71">
        <f ca="1">MIN(C90*$B$67,MAX(C90*$B$68,C90*$B$65*(1+$B$66)^(14)))</f>
        <v>2795.0978818768353</v>
      </c>
      <c r="E90" s="47">
        <f t="shared" ca="1" si="3"/>
        <v>5.5E-2</v>
      </c>
      <c r="F90" s="71">
        <f ca="1">IFERROR((C90-D90)*Dashboard!C5,0)</f>
        <v>0</v>
      </c>
      <c r="G90" s="71">
        <f t="shared" ca="1" si="4"/>
        <v>48024.863606792896</v>
      </c>
      <c r="H90" s="71">
        <f t="shared" ca="1" si="8"/>
        <v>51975.136393207104</v>
      </c>
      <c r="I90" s="48">
        <f t="shared" ca="1" si="5"/>
        <v>17.2</v>
      </c>
      <c r="J90" s="17" t="str">
        <f t="shared" ca="1" si="6"/>
        <v>OK</v>
      </c>
      <c r="K90" s="11"/>
      <c r="L90" s="11"/>
      <c r="M90" s="11"/>
      <c r="N90" s="11"/>
      <c r="O90" s="11"/>
      <c r="P90" s="11"/>
      <c r="Q90" s="11"/>
      <c r="R90" s="11"/>
    </row>
    <row r="91" spans="1:18" ht="15" customHeight="1" x14ac:dyDescent="0.3">
      <c r="A91" s="43">
        <v>16</v>
      </c>
      <c r="B91" s="43">
        <f>MAX(B5,B6)+15</f>
        <v>80</v>
      </c>
      <c r="C91" s="71">
        <f t="shared" ca="1" si="7"/>
        <v>48024.863606792896</v>
      </c>
      <c r="D91" s="71">
        <f ca="1">MIN(C91*$B$67,MAX(C91*$B$68,C91*$B$65*(1+$B$66)^(15)))</f>
        <v>2641.3674983736091</v>
      </c>
      <c r="E91" s="47">
        <f t="shared" ca="1" si="3"/>
        <v>5.4999999999999993E-2</v>
      </c>
      <c r="F91" s="71">
        <f ca="1">IFERROR((C91-D91)*Dashboard!C5,0)</f>
        <v>0</v>
      </c>
      <c r="G91" s="71">
        <f t="shared" ca="1" si="4"/>
        <v>45383.496108419291</v>
      </c>
      <c r="H91" s="71">
        <f t="shared" ca="1" si="8"/>
        <v>54616.503891580709</v>
      </c>
      <c r="I91" s="48">
        <f t="shared" ca="1" si="5"/>
        <v>17.2</v>
      </c>
      <c r="J91" s="17" t="str">
        <f t="shared" ca="1" si="6"/>
        <v>OK</v>
      </c>
      <c r="K91" s="11"/>
      <c r="L91" s="11"/>
      <c r="M91" s="11"/>
      <c r="N91" s="11"/>
      <c r="O91" s="11"/>
      <c r="P91" s="11"/>
      <c r="Q91" s="11"/>
      <c r="R91" s="11"/>
    </row>
    <row r="92" spans="1:18" ht="15" customHeight="1" x14ac:dyDescent="0.3">
      <c r="A92" s="43">
        <v>17</v>
      </c>
      <c r="B92" s="43">
        <f>MAX(B5,B6)+16</f>
        <v>81</v>
      </c>
      <c r="C92" s="71">
        <f t="shared" ca="1" si="7"/>
        <v>45383.496108419291</v>
      </c>
      <c r="D92" s="71">
        <f ca="1">MIN(C92*$B$67,MAX(C92*$B$68,C92*$B$65*(1+$B$66)^(16)))</f>
        <v>2496.0922859630609</v>
      </c>
      <c r="E92" s="47">
        <f t="shared" ca="1" si="3"/>
        <v>5.5E-2</v>
      </c>
      <c r="F92" s="71">
        <f ca="1">IFERROR((C92-D92)*Dashboard!C5,0)</f>
        <v>0</v>
      </c>
      <c r="G92" s="71">
        <f t="shared" ca="1" si="4"/>
        <v>42887.403822456232</v>
      </c>
      <c r="H92" s="71">
        <f t="shared" ca="1" si="8"/>
        <v>57112.596177543768</v>
      </c>
      <c r="I92" s="48">
        <f t="shared" ca="1" si="5"/>
        <v>17.2</v>
      </c>
      <c r="J92" s="17" t="str">
        <f t="shared" ca="1" si="6"/>
        <v>OK</v>
      </c>
      <c r="K92" s="11"/>
      <c r="L92" s="11"/>
      <c r="M92" s="11"/>
      <c r="N92" s="11"/>
      <c r="O92" s="11"/>
      <c r="P92" s="11"/>
      <c r="Q92" s="11"/>
      <c r="R92" s="11"/>
    </row>
    <row r="93" spans="1:18" ht="15" customHeight="1" x14ac:dyDescent="0.3">
      <c r="A93" s="43">
        <v>18</v>
      </c>
      <c r="B93" s="43">
        <f>MAX(B5,B6)+17</f>
        <v>82</v>
      </c>
      <c r="C93" s="71">
        <f t="shared" ca="1" si="7"/>
        <v>42887.403822456232</v>
      </c>
      <c r="D93" s="71">
        <f ca="1">MIN(C93*$B$67,MAX(C93*$B$68,C93*$B$65*(1+$B$66)^(17)))</f>
        <v>2358.807210235093</v>
      </c>
      <c r="E93" s="47">
        <f t="shared" ca="1" si="3"/>
        <v>5.5000000000000007E-2</v>
      </c>
      <c r="F93" s="71">
        <f ca="1">IFERROR((C93-D93)*Dashboard!C5,0)</f>
        <v>0</v>
      </c>
      <c r="G93" s="71">
        <f t="shared" ca="1" si="4"/>
        <v>40528.596612221139</v>
      </c>
      <c r="H93" s="71">
        <f t="shared" ca="1" si="8"/>
        <v>59471.403387778861</v>
      </c>
      <c r="I93" s="48">
        <f t="shared" ca="1" si="5"/>
        <v>17.2</v>
      </c>
      <c r="J93" s="17" t="str">
        <f t="shared" ca="1" si="6"/>
        <v>OK</v>
      </c>
      <c r="K93" s="11"/>
      <c r="L93" s="11"/>
      <c r="M93" s="11"/>
      <c r="N93" s="11"/>
      <c r="O93" s="11"/>
      <c r="P93" s="11"/>
      <c r="Q93" s="11"/>
      <c r="R93" s="11"/>
    </row>
    <row r="94" spans="1:18" ht="15" customHeight="1" x14ac:dyDescent="0.3">
      <c r="A94" s="43">
        <v>19</v>
      </c>
      <c r="B94" s="43">
        <f>MAX(B5,B6)+18</f>
        <v>83</v>
      </c>
      <c r="C94" s="71">
        <f t="shared" ca="1" si="7"/>
        <v>40528.596612221139</v>
      </c>
      <c r="D94" s="71">
        <f ca="1">MIN(C94*$B$67,MAX(C94*$B$68,C94*$B$65*(1+$B$66)^(18)))</f>
        <v>2229.0728136721627</v>
      </c>
      <c r="E94" s="47">
        <f t="shared" ca="1" si="3"/>
        <v>5.5E-2</v>
      </c>
      <c r="F94" s="71">
        <f ca="1">IFERROR((C94-D94)*Dashboard!C5,0)</f>
        <v>0</v>
      </c>
      <c r="G94" s="71">
        <f t="shared" ca="1" si="4"/>
        <v>38299.52379854898</v>
      </c>
      <c r="H94" s="71">
        <f t="shared" ca="1" si="8"/>
        <v>61700.47620145102</v>
      </c>
      <c r="I94" s="48">
        <f t="shared" ca="1" si="5"/>
        <v>17.2</v>
      </c>
      <c r="J94" s="17" t="str">
        <f t="shared" ca="1" si="6"/>
        <v>OK</v>
      </c>
      <c r="K94" s="11"/>
      <c r="L94" s="11"/>
      <c r="M94" s="11"/>
      <c r="N94" s="11"/>
      <c r="O94" s="11"/>
      <c r="P94" s="11"/>
      <c r="Q94" s="11"/>
      <c r="R94" s="11"/>
    </row>
    <row r="95" spans="1:18" ht="15" customHeight="1" x14ac:dyDescent="0.3">
      <c r="A95" s="43">
        <v>20</v>
      </c>
      <c r="B95" s="43">
        <f>MAX(B5,B6)+19</f>
        <v>84</v>
      </c>
      <c r="C95" s="71">
        <f t="shared" ca="1" si="7"/>
        <v>38299.52379854898</v>
      </c>
      <c r="D95" s="71">
        <f ca="1">MIN(C95*$B$67,MAX(C95*$B$68,C95*$B$65*(1+$B$66)^(19)))</f>
        <v>2106.4738089201937</v>
      </c>
      <c r="E95" s="47">
        <f t="shared" ca="1" si="3"/>
        <v>5.4999999999999993E-2</v>
      </c>
      <c r="F95" s="71">
        <f ca="1">IFERROR((C95-D95)*Dashboard!C5,0)</f>
        <v>0</v>
      </c>
      <c r="G95" s="71">
        <f t="shared" ca="1" si="4"/>
        <v>36193.049989628787</v>
      </c>
      <c r="H95" s="71">
        <f t="shared" ca="1" si="8"/>
        <v>63806.950010371213</v>
      </c>
      <c r="I95" s="48">
        <f t="shared" ca="1" si="5"/>
        <v>17.2</v>
      </c>
      <c r="J95" s="17" t="str">
        <f t="shared" ca="1" si="6"/>
        <v>OK</v>
      </c>
      <c r="K95" s="11"/>
      <c r="L95" s="11"/>
      <c r="M95" s="11"/>
      <c r="N95" s="11"/>
      <c r="O95" s="11"/>
      <c r="P95" s="11"/>
      <c r="Q95" s="11"/>
      <c r="R95" s="11"/>
    </row>
    <row r="96" spans="1:18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ht="15" customHeight="1" x14ac:dyDescent="0.3">
      <c r="A97" s="69" t="s">
        <v>1030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ht="15" customHeight="1" x14ac:dyDescent="0.3">
      <c r="A98" s="32" t="s">
        <v>375</v>
      </c>
      <c r="B98" s="32" t="s">
        <v>1031</v>
      </c>
      <c r="C98" s="32" t="s">
        <v>1032</v>
      </c>
      <c r="D98" s="32" t="s">
        <v>378</v>
      </c>
      <c r="E98" s="32" t="s">
        <v>1033</v>
      </c>
      <c r="F98" s="32" t="s">
        <v>1034</v>
      </c>
      <c r="G98" s="32" t="s">
        <v>1035</v>
      </c>
      <c r="H98" s="32" t="s">
        <v>1036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ht="34.5" customHeight="1" x14ac:dyDescent="0.3">
      <c r="A99" s="19" t="s">
        <v>1037</v>
      </c>
      <c r="B99" s="23">
        <v>-0.1</v>
      </c>
      <c r="C99" s="47">
        <f ca="1">B99*Dashboard!K5</f>
        <v>0</v>
      </c>
      <c r="D99" s="71">
        <f ca="1">C99*'Data Input'!B8</f>
        <v>0</v>
      </c>
      <c r="E99" s="17" t="str">
        <f t="shared" ref="E99:E104" ca="1" si="9">ROUND(ABS(C99)*1000/12,0)&amp;" months"</f>
        <v>0 months</v>
      </c>
      <c r="F99" s="17" t="str">
        <f t="shared" ref="F99:F104" ca="1" si="10">IF(ABS(C99)&gt;$B$70,"Reduce to "&amp;TEXT($B$68,"0.0%"),IF(ABS(C99)&gt;0.15,"Reduce to "&amp;TEXT($B$65*0.9,"0.0%"),"Maintain"))</f>
        <v>Maintain</v>
      </c>
      <c r="G99" s="17" t="str">
        <f t="shared" ref="G99:G104" ca="1" si="11">IF(ABS(C99)&gt;0.25,"Shift to Preservation alloc",IF(ABS(C99)&gt;0.15,"Increase bonds 5%, cut equity 5%","Hold steady"))</f>
        <v>Hold steady</v>
      </c>
      <c r="H99" s="91" t="str">
        <f t="shared" ref="H99:H104" ca="1" si="12">IF(ABS(C99)&gt;0.3,"CRISIS: Deploy reserves + halt withdrawals + max buffered ETFs",IF(ABS(C99)&gt;0.2,"DEFENSIVE: Use reserve bucket + reduce WD + add hedges",IF(ABS(C99)&gt;0.1,"CAUTION: Tax-loss harvest + review + maintain","NORMAL: Rebalance to targets")))</f>
        <v>NORMAL: Rebalance to targets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ht="34.5" customHeight="1" x14ac:dyDescent="0.3">
      <c r="A100" s="19" t="s">
        <v>1038</v>
      </c>
      <c r="B100" s="23">
        <v>-0.2</v>
      </c>
      <c r="C100" s="47">
        <f ca="1">B100*Dashboard!K5</f>
        <v>0</v>
      </c>
      <c r="D100" s="71">
        <f ca="1">C100*'Data Input'!B8</f>
        <v>0</v>
      </c>
      <c r="E100" s="17" t="str">
        <f t="shared" ca="1" si="9"/>
        <v>0 months</v>
      </c>
      <c r="F100" s="17" t="str">
        <f t="shared" ca="1" si="10"/>
        <v>Maintain</v>
      </c>
      <c r="G100" s="17" t="str">
        <f t="shared" ca="1" si="11"/>
        <v>Hold steady</v>
      </c>
      <c r="H100" s="91" t="str">
        <f t="shared" ca="1" si="12"/>
        <v>NORMAL: Rebalance to targets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ht="34.5" customHeight="1" x14ac:dyDescent="0.3">
      <c r="A101" s="19" t="s">
        <v>1039</v>
      </c>
      <c r="B101" s="23">
        <v>-0.3</v>
      </c>
      <c r="C101" s="47">
        <f ca="1">B101*Dashboard!K5</f>
        <v>0</v>
      </c>
      <c r="D101" s="71">
        <f ca="1">C101*'Data Input'!B8</f>
        <v>0</v>
      </c>
      <c r="E101" s="17" t="str">
        <f t="shared" ca="1" si="9"/>
        <v>0 months</v>
      </c>
      <c r="F101" s="17" t="str">
        <f t="shared" ca="1" si="10"/>
        <v>Maintain</v>
      </c>
      <c r="G101" s="17" t="str">
        <f t="shared" ca="1" si="11"/>
        <v>Hold steady</v>
      </c>
      <c r="H101" s="91" t="str">
        <f t="shared" ca="1" si="12"/>
        <v>NORMAL: Rebalance to targets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ht="34.5" customHeight="1" x14ac:dyDescent="0.3">
      <c r="A102" s="19" t="s">
        <v>1040</v>
      </c>
      <c r="B102" s="23">
        <v>-0.4</v>
      </c>
      <c r="C102" s="47">
        <f ca="1">B102*Dashboard!K5</f>
        <v>0</v>
      </c>
      <c r="D102" s="71">
        <f ca="1">C102*'Data Input'!B8</f>
        <v>0</v>
      </c>
      <c r="E102" s="17" t="str">
        <f t="shared" ca="1" si="9"/>
        <v>0 months</v>
      </c>
      <c r="F102" s="17" t="str">
        <f t="shared" ca="1" si="10"/>
        <v>Maintain</v>
      </c>
      <c r="G102" s="17" t="str">
        <f t="shared" ca="1" si="11"/>
        <v>Hold steady</v>
      </c>
      <c r="H102" s="91" t="str">
        <f t="shared" ca="1" si="12"/>
        <v>NORMAL: Rebalance to targets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ht="34.5" customHeight="1" x14ac:dyDescent="0.3">
      <c r="A103" s="19" t="s">
        <v>1041</v>
      </c>
      <c r="B103" s="23">
        <v>-0.15</v>
      </c>
      <c r="C103" s="47">
        <f ca="1">B103*Dashboard!K5</f>
        <v>0</v>
      </c>
      <c r="D103" s="71">
        <f ca="1">C103*'Data Input'!B8</f>
        <v>0</v>
      </c>
      <c r="E103" s="17" t="str">
        <f t="shared" ca="1" si="9"/>
        <v>0 months</v>
      </c>
      <c r="F103" s="17" t="str">
        <f t="shared" ca="1" si="10"/>
        <v>Maintain</v>
      </c>
      <c r="G103" s="17" t="str">
        <f t="shared" ca="1" si="11"/>
        <v>Hold steady</v>
      </c>
      <c r="H103" s="91" t="str">
        <f t="shared" ca="1" si="12"/>
        <v>NORMAL: Rebalance to targets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ht="34.5" customHeight="1" x14ac:dyDescent="0.3">
      <c r="A104" s="19" t="s">
        <v>1042</v>
      </c>
      <c r="B104" s="23">
        <v>-0.12</v>
      </c>
      <c r="C104" s="47">
        <f ca="1">B104*Dashboard!K5</f>
        <v>0</v>
      </c>
      <c r="D104" s="71">
        <f ca="1">C104*'Data Input'!B8</f>
        <v>0</v>
      </c>
      <c r="E104" s="17" t="str">
        <f t="shared" ca="1" si="9"/>
        <v>0 months</v>
      </c>
      <c r="F104" s="17" t="str">
        <f t="shared" ca="1" si="10"/>
        <v>Maintain</v>
      </c>
      <c r="G104" s="17" t="str">
        <f t="shared" ca="1" si="11"/>
        <v>Hold steady</v>
      </c>
      <c r="H104" s="91" t="str">
        <f t="shared" ca="1" si="12"/>
        <v>NORMAL: Rebalance to targets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ht="1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ht="1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ht="15" customHeight="1" x14ac:dyDescent="0.3">
      <c r="A107" s="69" t="s">
        <v>1043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ht="15" customHeight="1" x14ac:dyDescent="0.3">
      <c r="A108" s="32" t="s">
        <v>365</v>
      </c>
      <c r="B108" s="32" t="s">
        <v>992</v>
      </c>
      <c r="C108" s="32" t="s">
        <v>733</v>
      </c>
      <c r="D108" s="32" t="s">
        <v>993</v>
      </c>
      <c r="E108" s="32" t="s">
        <v>1044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ht="15" customHeight="1" x14ac:dyDescent="0.3">
      <c r="A109" s="19" t="s">
        <v>1045</v>
      </c>
      <c r="B109" s="93" t="s">
        <v>1046</v>
      </c>
      <c r="C109" s="94" t="s">
        <v>315</v>
      </c>
      <c r="D109" s="95" t="s">
        <v>331</v>
      </c>
      <c r="E109" s="96" t="s">
        <v>1047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ht="15" customHeight="1" x14ac:dyDescent="0.3">
      <c r="A110" s="19" t="s">
        <v>1048</v>
      </c>
      <c r="B110" s="93" t="s">
        <v>1049</v>
      </c>
      <c r="C110" s="94" t="s">
        <v>1050</v>
      </c>
      <c r="D110" s="95" t="s">
        <v>1051</v>
      </c>
      <c r="E110" s="96" t="s">
        <v>1052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ht="15" customHeight="1" x14ac:dyDescent="0.3">
      <c r="A111" s="19" t="s">
        <v>1053</v>
      </c>
      <c r="B111" s="93" t="s">
        <v>1054</v>
      </c>
      <c r="C111" s="94" t="s">
        <v>1055</v>
      </c>
      <c r="D111" s="95" t="s">
        <v>1056</v>
      </c>
      <c r="E111" s="96" t="s">
        <v>1057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ht="15" customHeight="1" x14ac:dyDescent="0.3">
      <c r="A112" s="19" t="s">
        <v>1058</v>
      </c>
      <c r="B112" s="93" t="s">
        <v>1059</v>
      </c>
      <c r="C112" s="94" t="s">
        <v>1059</v>
      </c>
      <c r="D112" s="95" t="s">
        <v>1060</v>
      </c>
      <c r="E112" s="96" t="s">
        <v>1061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ht="15" customHeight="1" x14ac:dyDescent="0.3">
      <c r="A113" s="19" t="s">
        <v>1062</v>
      </c>
      <c r="B113" s="93" t="s">
        <v>1063</v>
      </c>
      <c r="C113" s="94" t="s">
        <v>1064</v>
      </c>
      <c r="D113" s="95" t="s">
        <v>1065</v>
      </c>
      <c r="E113" s="96" t="s">
        <v>1066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ht="15" customHeight="1" x14ac:dyDescent="0.3">
      <c r="A114" s="19" t="s">
        <v>1067</v>
      </c>
      <c r="B114" s="93" t="s">
        <v>1068</v>
      </c>
      <c r="C114" s="94" t="s">
        <v>1069</v>
      </c>
      <c r="D114" s="95" t="s">
        <v>1070</v>
      </c>
      <c r="E114" s="96" t="s">
        <v>1071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ht="15" customHeight="1" x14ac:dyDescent="0.3">
      <c r="A115" s="19" t="s">
        <v>1072</v>
      </c>
      <c r="B115" s="93" t="s">
        <v>1073</v>
      </c>
      <c r="C115" s="94" t="s">
        <v>1074</v>
      </c>
      <c r="D115" s="95" t="s">
        <v>1075</v>
      </c>
      <c r="E115" s="96" t="s">
        <v>1076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ht="15" customHeight="1" x14ac:dyDescent="0.3">
      <c r="A116" s="19" t="s">
        <v>1077</v>
      </c>
      <c r="B116" s="93" t="s">
        <v>1078</v>
      </c>
      <c r="C116" s="94" t="s">
        <v>1079</v>
      </c>
      <c r="D116" s="95" t="s">
        <v>1080</v>
      </c>
      <c r="E116" s="96" t="s">
        <v>1081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ht="1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ht="1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ht="1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ht="1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ht="1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ht="1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ht="1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ht="1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ht="1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ht="1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ht="1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ht="1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ht="1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ht="1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</sheetData>
  <mergeCells count="3">
    <mergeCell ref="A1:P1"/>
    <mergeCell ref="A2:P2"/>
    <mergeCell ref="B38:H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59E0B"/>
  </sheetPr>
  <dimension ref="A1:N10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5" width="16" customWidth="1"/>
    <col min="6" max="6" width="24" customWidth="1"/>
  </cols>
  <sheetData>
    <row r="1" spans="1:14" ht="17.25" customHeight="1" x14ac:dyDescent="0.3">
      <c r="A1" s="9" t="s">
        <v>1082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1"/>
      <c r="N1" s="11"/>
    </row>
    <row r="2" spans="1:14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 x14ac:dyDescent="0.3">
      <c r="A3" s="69" t="s">
        <v>1083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3">
      <c r="A4" s="32" t="s">
        <v>365</v>
      </c>
      <c r="B4" s="32" t="s">
        <v>1084</v>
      </c>
      <c r="C4" s="32" t="s">
        <v>1085</v>
      </c>
      <c r="D4" s="32" t="s">
        <v>1086</v>
      </c>
      <c r="E4" s="32" t="s">
        <v>1087</v>
      </c>
      <c r="F4" s="32" t="s">
        <v>1088</v>
      </c>
      <c r="G4" s="11"/>
      <c r="H4" s="11"/>
      <c r="I4" s="11"/>
      <c r="J4" s="11"/>
      <c r="K4" s="11"/>
      <c r="L4" s="11"/>
      <c r="M4" s="11"/>
      <c r="N4" s="11"/>
    </row>
    <row r="5" spans="1:14" ht="15" customHeight="1" x14ac:dyDescent="0.3">
      <c r="A5" s="19" t="s">
        <v>736</v>
      </c>
      <c r="B5" s="27">
        <f ca="1">Dashboard!C5</f>
        <v>0</v>
      </c>
      <c r="C5" s="27">
        <f ca="1">'Data Input'!B6</f>
        <v>0.1</v>
      </c>
      <c r="D5" s="27">
        <f ca="1">0.6*'Data Input'!B6+0.4*0.04</f>
        <v>7.5999999999999998E-2</v>
      </c>
      <c r="E5" s="27">
        <f>SUMPRODUCT('Investor Lifecycle'!G$43:G$55,'Scenario Compare'!$B$5:$B$17)</f>
        <v>7.8750000000000014E-2</v>
      </c>
      <c r="F5" s="17" t="str">
        <f ca="1">IF(B5&gt;=E5*0.95,"A",IF(B5&gt;=E5*0.8,"B",IF(B5&gt;=E5*0.6,"C","D")))</f>
        <v>D</v>
      </c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3">
      <c r="A6" s="19" t="s">
        <v>79</v>
      </c>
      <c r="B6" s="27">
        <f ca="1">Dashboard!E5</f>
        <v>0</v>
      </c>
      <c r="C6" s="27">
        <f ca="1">'Data Input'!B7</f>
        <v>0.16</v>
      </c>
      <c r="D6" s="27">
        <f ca="1">0.6*'Data Input'!B7+0.4*0.05</f>
        <v>0.11600000000000001</v>
      </c>
      <c r="E6" s="27">
        <f>SUMPRODUCT('Investor Lifecycle'!G$43:G$55,'Scenario Compare'!$C$5:$C$17)</f>
        <v>0.15680000000000002</v>
      </c>
      <c r="F6" s="17" t="str">
        <f ca="1">IF(ABS(B6)&lt;=ABS(E6)*1.05,"A",IF(ABS(B6)&lt;=ABS(E6)*1.2,"B",IF(ABS(B6)&lt;=ABS(E6)*1.5,"C","D")))</f>
        <v>A</v>
      </c>
      <c r="G6" s="11"/>
      <c r="H6" s="11"/>
      <c r="I6" s="11"/>
      <c r="J6" s="11"/>
      <c r="K6" s="11"/>
      <c r="L6" s="11"/>
      <c r="M6" s="11"/>
      <c r="N6" s="11"/>
    </row>
    <row r="7" spans="1:14" ht="15" customHeight="1" x14ac:dyDescent="0.3">
      <c r="A7" s="19" t="s">
        <v>1089</v>
      </c>
      <c r="B7" s="42">
        <f ca="1">Dashboard!G5</f>
        <v>0</v>
      </c>
      <c r="C7" s="42">
        <f ca="1">IFERROR(('Data Input'!B6-'Data Input'!B5)/'Data Input'!B7,0)</f>
        <v>0.34375000000000006</v>
      </c>
      <c r="D7" s="42">
        <f ca="1">IFERROR((D6-'Data Input'!B5)/D7,0)</f>
        <v>0</v>
      </c>
      <c r="E7" s="42">
        <f ca="1">IFERROR((E5-'Data Input'!B5)/E6,0)</f>
        <v>0.21524234693877559</v>
      </c>
      <c r="F7" s="17" t="str">
        <f ca="1">IF(B7&gt;=E7*0.95,"A",IF(B7&gt;=E7*0.8,"B",IF(B7&gt;=E7*0.6,"C","D")))</f>
        <v>D</v>
      </c>
      <c r="G7" s="11"/>
      <c r="H7" s="11"/>
      <c r="I7" s="11"/>
      <c r="J7" s="11"/>
      <c r="K7" s="11"/>
      <c r="L7" s="11"/>
      <c r="M7" s="11"/>
      <c r="N7" s="11"/>
    </row>
    <row r="8" spans="1:14" ht="15" customHeight="1" x14ac:dyDescent="0.3">
      <c r="A8" s="19" t="s">
        <v>198</v>
      </c>
      <c r="B8" s="42">
        <f ca="1">Dashboard!K5</f>
        <v>0</v>
      </c>
      <c r="C8" s="42" t="s">
        <v>1090</v>
      </c>
      <c r="D8" s="42" t="s">
        <v>1091</v>
      </c>
      <c r="E8" s="42">
        <f>IFERROR(SUM('Investor Lifecycle'!G43:G46)*1+SUM('Investor Lifecycle'!G47:G49)*0.2+SUM('Investor Lifecycle'!G50:G55)*0.3,0.6)</f>
        <v>0.74599999999999989</v>
      </c>
      <c r="F8" s="17" t="str">
        <f ca="1">IF(ABS(B8)&lt;=ABS(E8)*1.05,"A",IF(ABS(B8)&lt;=ABS(E8)*1.2,"B",IF(ABS(B8)&lt;=ABS(E8)*1.5,"C","D")))</f>
        <v>A</v>
      </c>
      <c r="G8" s="11"/>
      <c r="H8" s="11"/>
      <c r="I8" s="11"/>
      <c r="J8" s="11"/>
      <c r="K8" s="11"/>
      <c r="L8" s="11"/>
      <c r="M8" s="11"/>
      <c r="N8" s="11"/>
    </row>
    <row r="9" spans="1:14" ht="15" customHeight="1" x14ac:dyDescent="0.3">
      <c r="A9" s="19" t="s">
        <v>1092</v>
      </c>
      <c r="B9" s="27">
        <f ca="1">Dashboard!I5</f>
        <v>0</v>
      </c>
      <c r="C9" s="27" t="s">
        <v>1093</v>
      </c>
      <c r="D9" s="27" t="s">
        <v>1094</v>
      </c>
      <c r="E9" s="27">
        <f ca="1">E7*-2.5</f>
        <v>-0.53810586734693899</v>
      </c>
      <c r="F9" s="17" t="str">
        <f ca="1">IF(ABS(B9)&lt;=ABS(E9)*1.05,"A",IF(ABS(B9)&lt;=ABS(E9)*1.2,"B",IF(ABS(B9)&lt;=ABS(E9)*1.5,"C","D")))</f>
        <v>A</v>
      </c>
      <c r="G9" s="11"/>
      <c r="H9" s="11"/>
      <c r="I9" s="11"/>
      <c r="J9" s="11"/>
      <c r="K9" s="11"/>
      <c r="L9" s="11"/>
      <c r="M9" s="11"/>
      <c r="N9" s="11"/>
    </row>
    <row r="10" spans="1:14" ht="15" customHeight="1" x14ac:dyDescent="0.3">
      <c r="A10" s="19" t="s">
        <v>368</v>
      </c>
      <c r="B10" s="27">
        <f ca="1">'Risk Management'!B6</f>
        <v>0</v>
      </c>
      <c r="C10" s="27">
        <f ca="1">'Data Input'!B7*1.645/SQRT(252)</f>
        <v>1.65800415493381E-2</v>
      </c>
      <c r="D10" s="27">
        <f ca="1">D7*1.645/SQRT(252)</f>
        <v>0</v>
      </c>
      <c r="E10" s="27">
        <f ca="1">E7*1.645/SQRT(252)</f>
        <v>2.2304544096387161E-2</v>
      </c>
      <c r="F10" s="17" t="str">
        <f ca="1">IF(ABS(B10)&lt;=ABS(E10)*1.05,"A",IF(ABS(B10)&lt;=ABS(E10)*1.2,"B",IF(ABS(B10)&lt;=ABS(E10)*1.5,"C","D")))</f>
        <v>A</v>
      </c>
      <c r="G10" s="11"/>
      <c r="H10" s="11"/>
      <c r="I10" s="11"/>
      <c r="J10" s="11"/>
      <c r="K10" s="11"/>
      <c r="L10" s="11"/>
      <c r="M10" s="11"/>
      <c r="N10" s="11"/>
    </row>
    <row r="11" spans="1:14" ht="15" customHeight="1" x14ac:dyDescent="0.3">
      <c r="A11" s="19" t="s">
        <v>1095</v>
      </c>
      <c r="B11" s="42">
        <f ca="1">IFERROR(Dashboard!G5*1.3,0)</f>
        <v>0</v>
      </c>
      <c r="C11" s="42">
        <f>IFERROR(C8*1.3,0)</f>
        <v>1.3</v>
      </c>
      <c r="D11" s="42">
        <f>IFERROR(D8*1.3,0)</f>
        <v>0.78</v>
      </c>
      <c r="E11" s="42">
        <f>IFERROR(E8*1.3,0)</f>
        <v>0.96979999999999988</v>
      </c>
      <c r="F11" s="17" t="str">
        <f t="shared" ref="F11:F16" ca="1" si="0">IF(B11&gt;=E11*0.95,"A",IF(B11&gt;=E11*0.8,"B",IF(B11&gt;=E11*0.6,"C","D")))</f>
        <v>D</v>
      </c>
      <c r="G11" s="11"/>
      <c r="H11" s="11"/>
      <c r="I11" s="11"/>
      <c r="J11" s="11"/>
      <c r="K11" s="11"/>
      <c r="L11" s="11"/>
      <c r="M11" s="11"/>
      <c r="N11" s="11"/>
    </row>
    <row r="12" spans="1:14" ht="15" customHeight="1" x14ac:dyDescent="0.3">
      <c r="A12" s="19" t="s">
        <v>1096</v>
      </c>
      <c r="B12" s="42">
        <f ca="1">IFERROR((B5-'Data Input'!B5)/B9,0)</f>
        <v>0</v>
      </c>
      <c r="C12" s="42">
        <f ca="1">IFERROR((C5-'Data Input'!B5)/C9,0)</f>
        <v>-0.16176470588235295</v>
      </c>
      <c r="D12" s="42">
        <f ca="1">IFERROR((D5-'Data Input'!B5)/D9,0)</f>
        <v>-0.1409090909090909</v>
      </c>
      <c r="E12" s="42">
        <f ca="1">IFERROR((E5-'Data Input'!B5)/E9,0)</f>
        <v>-6.2719999999999998E-2</v>
      </c>
      <c r="F12" s="17" t="str">
        <f t="shared" ca="1" si="0"/>
        <v>A</v>
      </c>
      <c r="G12" s="11"/>
      <c r="H12" s="11"/>
      <c r="I12" s="11"/>
      <c r="J12" s="11"/>
      <c r="K12" s="11"/>
      <c r="L12" s="11"/>
      <c r="M12" s="11"/>
      <c r="N12" s="11"/>
    </row>
    <row r="13" spans="1:14" ht="15" customHeight="1" x14ac:dyDescent="0.3">
      <c r="A13" s="19" t="s">
        <v>1097</v>
      </c>
      <c r="B13" s="42">
        <f ca="1">IFERROR((B5-C5)/ABS(B6-C6),0)</f>
        <v>-0.625</v>
      </c>
      <c r="C13" s="42" t="s">
        <v>1098</v>
      </c>
      <c r="D13" s="42">
        <f ca="1">IFERROR((D5-C5)/ABS(D6-C6),0)</f>
        <v>-0.54545454545454564</v>
      </c>
      <c r="E13" s="42">
        <f ca="1">IFERROR((E5-C5)/ABS(E6-C6),0)</f>
        <v>-6.6406250000000373</v>
      </c>
      <c r="F13" s="17" t="str">
        <f t="shared" ca="1" si="0"/>
        <v>A</v>
      </c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3">
      <c r="A14" s="19" t="s">
        <v>1099</v>
      </c>
      <c r="B14" s="42">
        <f ca="1">IFERROR(B5/B6,0)</f>
        <v>0</v>
      </c>
      <c r="C14" s="42">
        <f ca="1">IFERROR(C5/C6,0)</f>
        <v>0.625</v>
      </c>
      <c r="D14" s="42">
        <f ca="1">IFERROR(D5/D6,0)</f>
        <v>0.65517241379310343</v>
      </c>
      <c r="E14" s="42">
        <f>IFERROR(E5/E6,0)</f>
        <v>0.5022321428571429</v>
      </c>
      <c r="F14" s="17" t="str">
        <f t="shared" ca="1" si="0"/>
        <v>D</v>
      </c>
      <c r="G14" s="11"/>
      <c r="H14" s="11"/>
      <c r="I14" s="11"/>
      <c r="J14" s="11"/>
      <c r="K14" s="11"/>
      <c r="L14" s="11"/>
      <c r="M14" s="11"/>
      <c r="N14" s="11"/>
    </row>
    <row r="15" spans="1:14" ht="15" customHeight="1" x14ac:dyDescent="0.3">
      <c r="A15" s="19" t="s">
        <v>1100</v>
      </c>
      <c r="B15" s="71">
        <f ca="1">100000*(1+B5)^5</f>
        <v>100000</v>
      </c>
      <c r="C15" s="71">
        <f ca="1">100000*(1+C5)^5</f>
        <v>161051.00000000006</v>
      </c>
      <c r="D15" s="71">
        <f ca="1">100000*(1+D5)^5</f>
        <v>144231.91064053765</v>
      </c>
      <c r="E15" s="71">
        <f>100000*(1+E5)^5</f>
        <v>146084.46810319312</v>
      </c>
      <c r="F15" s="17" t="str">
        <f t="shared" ca="1" si="0"/>
        <v>C</v>
      </c>
      <c r="G15" s="11"/>
      <c r="H15" s="11"/>
      <c r="I15" s="11"/>
      <c r="J15" s="11"/>
      <c r="K15" s="11"/>
      <c r="L15" s="11"/>
      <c r="M15" s="11"/>
      <c r="N15" s="11"/>
    </row>
    <row r="16" spans="1:14" ht="15" customHeight="1" x14ac:dyDescent="0.3">
      <c r="A16" s="19" t="s">
        <v>1101</v>
      </c>
      <c r="B16" s="71">
        <f ca="1">100000*(1+B5)^10</f>
        <v>100000</v>
      </c>
      <c r="C16" s="71">
        <f ca="1">100000*(1+C5)^10</f>
        <v>259374.24601000018</v>
      </c>
      <c r="D16" s="71">
        <f ca="1">100000*(1+D5)^10</f>
        <v>208028.44047020032</v>
      </c>
      <c r="E16" s="71">
        <f>100000*(1+E5)^10</f>
        <v>213406.71820992848</v>
      </c>
      <c r="F16" s="17" t="str">
        <f t="shared" ca="1" si="0"/>
        <v>D</v>
      </c>
      <c r="G16" s="11"/>
      <c r="H16" s="11"/>
      <c r="I16" s="11"/>
      <c r="J16" s="11"/>
      <c r="K16" s="11"/>
      <c r="L16" s="11"/>
      <c r="M16" s="11"/>
      <c r="N16" s="11"/>
    </row>
    <row r="17" spans="1:14" ht="1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7.25" customHeight="1" x14ac:dyDescent="0.3">
      <c r="A18" s="90" t="s">
        <v>1102</v>
      </c>
      <c r="B18" s="1" t="str">
        <f ca="1">IF(COUNTIF(F5:F16,"A")&gt;=8,"A — EXCELLENT",IF(COUNTIF(F5:F16,"A")+COUNTIF(F5:F16,"B")&gt;=8,"B — GOOD",IF(COUNTIF(F5:F16,"D")&gt;=4,"D — NEEDS WORK","C — ADEQUATE")))</f>
        <v>D — NEEDS WORK</v>
      </c>
      <c r="C18" s="1"/>
      <c r="D18" s="1"/>
      <c r="E18" s="1"/>
      <c r="F18" s="1"/>
      <c r="G18" s="11"/>
      <c r="H18" s="11"/>
      <c r="I18" s="11"/>
      <c r="J18" s="11"/>
      <c r="K18" s="11"/>
      <c r="L18" s="11"/>
      <c r="M18" s="11"/>
      <c r="N18" s="11"/>
    </row>
    <row r="19" spans="1:14" ht="1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customHeight="1" x14ac:dyDescent="0.3">
      <c r="A20" s="69" t="s">
        <v>1103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" customHeight="1" x14ac:dyDescent="0.3">
      <c r="A21" s="32" t="s">
        <v>1104</v>
      </c>
      <c r="B21" s="32" t="s">
        <v>1105</v>
      </c>
      <c r="C21" s="32" t="s">
        <v>262</v>
      </c>
      <c r="D21" s="32" t="s">
        <v>1106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15" customHeight="1" x14ac:dyDescent="0.3">
      <c r="A22" s="19" t="s">
        <v>1107</v>
      </c>
      <c r="B22" s="64" t="str">
        <f ca="1">'Data Input'!B85</f>
        <v>RISK OFF</v>
      </c>
      <c r="C22" s="62">
        <f ca="1">'Data Input'!B84</f>
        <v>0</v>
      </c>
      <c r="D22" s="17" t="str">
        <f ca="1">IF(AND(C22&gt;=50,AVERAGE(C22:C31)&gt;=50),"YES",IF(AND(C22&lt;50,AVERAGE(C22:C31)&lt;50),"YES","NO"))</f>
        <v>YES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" customHeight="1" x14ac:dyDescent="0.3">
      <c r="A23" s="19" t="s">
        <v>1108</v>
      </c>
      <c r="B23" s="64" t="str">
        <f ca="1">'Signal Engine'!G16</f>
        <v>STRONG SELL</v>
      </c>
      <c r="C23" s="62">
        <f ca="1">'Signal Engine'!F16</f>
        <v>0</v>
      </c>
      <c r="D23" s="17" t="str">
        <f ca="1">IF(AND(C23&gt;=50,AVERAGE(C22:C31)&gt;=50),"YES",IF(AND(C23&lt;50,AVERAGE(C22:C31)&lt;50),"YES","NO"))</f>
        <v>YES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customHeight="1" x14ac:dyDescent="0.3">
      <c r="A24" s="19" t="s">
        <v>1109</v>
      </c>
      <c r="B24" s="64" t="str">
        <f ca="1">'Technical Analysis'!H42</f>
        <v>NEUTRAL</v>
      </c>
      <c r="C24" s="62">
        <f ca="1">'Technical Analysis'!V42</f>
        <v>50</v>
      </c>
      <c r="D24" s="17" t="str">
        <f ca="1">IF(AND(C24&gt;=50,AVERAGE(C22:C31)&gt;=50),"YES",IF(AND(C24&lt;50,AVERAGE(C22:C31)&lt;50),"YES","NO"))</f>
        <v>NO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15" customHeight="1" x14ac:dyDescent="0.3">
      <c r="A25" s="19" t="s">
        <v>1110</v>
      </c>
      <c r="B25" s="64" t="str">
        <f ca="1">'Technical Analysis'!M42</f>
        <v/>
      </c>
      <c r="C25" s="62">
        <f ca="1">'Technical Analysis'!W42</f>
        <v>50</v>
      </c>
      <c r="D25" s="17" t="str">
        <f ca="1">IF(AND(C25&gt;=50,AVERAGE(C22:C31)&gt;=50),"YES",IF(AND(C25&lt;50,AVERAGE(C22:C31)&lt;50),"YES","NO"))</f>
        <v>NO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5" customHeight="1" x14ac:dyDescent="0.3">
      <c r="A26" s="19" t="s">
        <v>919</v>
      </c>
      <c r="B26" s="64" t="str">
        <f ca="1">'Technical Analysis'!R42</f>
        <v/>
      </c>
      <c r="C26" s="62">
        <f ca="1">'Technical Analysis'!X42</f>
        <v>50</v>
      </c>
      <c r="D26" s="17" t="str">
        <f ca="1">IF(AND(C26&gt;=50,AVERAGE(C22:C31)&gt;=50),"YES",IF(AND(C26&lt;50,AVERAGE(C22:C31)&lt;50),"YES","NO"))</f>
        <v>NO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5" customHeight="1" x14ac:dyDescent="0.3">
      <c r="A27" s="19" t="s">
        <v>1111</v>
      </c>
      <c r="B27" s="64" t="str">
        <f ca="1">'Technical Analysis'!AA42</f>
        <v>HOLD</v>
      </c>
      <c r="C27" s="62">
        <f ca="1">'Technical Analysis'!Z42</f>
        <v>49</v>
      </c>
      <c r="D27" s="17" t="str">
        <f ca="1">IF(AND(C27&gt;=50,AVERAGE(C22:C31)&gt;=50),"YES",IF(AND(C27&lt;50,AVERAGE(C22:C31)&lt;50),"YES","NO"))</f>
        <v>YES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5" customHeight="1" x14ac:dyDescent="0.3">
      <c r="A28" s="19" t="s">
        <v>1112</v>
      </c>
      <c r="B28" s="64" t="str">
        <f ca="1">'Data Input'!B85</f>
        <v>RISK OFF</v>
      </c>
      <c r="C28" s="62">
        <f ca="1">'Data Input'!B84</f>
        <v>0</v>
      </c>
      <c r="D28" s="17" t="str">
        <f ca="1">IF(AND(C28&gt;=50,AVERAGE(C22:C31)&gt;=50),"YES",IF(AND(C28&lt;50,AVERAGE(C22:C31)&lt;50),"YES","NO"))</f>
        <v>YES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5" customHeight="1" x14ac:dyDescent="0.3">
      <c r="A29" s="19" t="s">
        <v>1113</v>
      </c>
      <c r="B29" s="64" t="str">
        <f ca="1">'Data Input'!B92</f>
        <v>⚠ CASH TRIGGER ACTIVE</v>
      </c>
      <c r="C29" s="62">
        <f ca="1">IF('Data Input'!B92="ALL CLEAR",70,20)</f>
        <v>20</v>
      </c>
      <c r="D29" s="17" t="str">
        <f ca="1">IF(AND(C29&gt;=50,AVERAGE(C22:C31)&gt;=50),"YES",IF(AND(C29&lt;50,AVERAGE(C22:C31)&lt;50),"YES","NO"))</f>
        <v>YES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5" customHeight="1" x14ac:dyDescent="0.3">
      <c r="A30" s="19" t="s">
        <v>1114</v>
      </c>
      <c r="B30" s="64" t="str">
        <f ca="1">'Buffered ETF Strategy'!C11</f>
        <v>MAXIMUM BUFFER</v>
      </c>
      <c r="C30" s="62">
        <f ca="1">'Buffered ETF Strategy'!C10</f>
        <v>87</v>
      </c>
      <c r="D30" s="17" t="str">
        <f ca="1">IF(AND(C30&gt;=50,AVERAGE(C22:C31)&gt;=50),"YES",IF(AND(C30&lt;50,AVERAGE(C22:C31)&lt;50),"YES","NO"))</f>
        <v>NO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" customHeight="1" x14ac:dyDescent="0.3">
      <c r="A31" s="19" t="s">
        <v>1115</v>
      </c>
      <c r="B31" s="64" t="str">
        <f>'Investor Lifecycle'!B37</f>
        <v>ACCUMULATION</v>
      </c>
      <c r="C31" s="62">
        <f>IF('Investor Lifecycle'!B37="ACCUMULATION",80,IF('Investor Lifecycle'!B37="GROWTH",65,IF('Investor Lifecycle'!B37="PRESERVATION",45,35)))</f>
        <v>80</v>
      </c>
      <c r="D31" s="17" t="str">
        <f ca="1">IF(AND(C31&gt;=50,AVERAGE(C22:C31)&gt;=50),"YES",IF(AND(C31&lt;50,AVERAGE(C22:C31)&lt;50),"YES","NO"))</f>
        <v>NO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3">
      <c r="A33" s="46" t="s">
        <v>1116</v>
      </c>
      <c r="B33" s="17" t="str">
        <f ca="1">IF(AVERAGE(C22:C31)&gt;=65,"BULLISH",IF(AVERAGE(C22:C31)&gt;=45,"NEUTRAL","BEARISH"))</f>
        <v>BEARISH</v>
      </c>
      <c r="C33" s="48">
        <f ca="1">AVERAGE(C22:C31)</f>
        <v>38.6</v>
      </c>
      <c r="D33" s="17" t="str">
        <f ca="1">COUNTIF(D22:D31,"YES")&amp;" of 10 agree"</f>
        <v>5 of 10 agree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15" customHeight="1" x14ac:dyDescent="0.3">
      <c r="A36" s="69" t="s">
        <v>1117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15" customHeight="1" x14ac:dyDescent="0.3">
      <c r="A37" s="32" t="s">
        <v>365</v>
      </c>
      <c r="B37" s="32" t="s">
        <v>992</v>
      </c>
      <c r="C37" s="32" t="s">
        <v>733</v>
      </c>
      <c r="D37" s="32" t="s">
        <v>993</v>
      </c>
      <c r="E37" s="32" t="s">
        <v>1044</v>
      </c>
      <c r="F37" s="32" t="s">
        <v>1118</v>
      </c>
      <c r="G37" s="11"/>
      <c r="H37" s="11"/>
      <c r="I37" s="11"/>
      <c r="J37" s="11"/>
      <c r="K37" s="11"/>
      <c r="L37" s="11"/>
      <c r="M37" s="11"/>
      <c r="N37" s="11"/>
    </row>
    <row r="38" spans="1:14" ht="15" customHeight="1" x14ac:dyDescent="0.3">
      <c r="A38" s="19" t="s">
        <v>1119</v>
      </c>
      <c r="B38" s="93" t="s">
        <v>1120</v>
      </c>
      <c r="C38" s="94" t="s">
        <v>1121</v>
      </c>
      <c r="D38" s="95" t="s">
        <v>1122</v>
      </c>
      <c r="E38" s="96" t="s">
        <v>390</v>
      </c>
      <c r="F38" s="17" t="str">
        <f>IF(OR('Investor Lifecycle'!$B$37="ACCUMULATION"),B38,IF('Investor Lifecycle'!$B$37="GROWTH",C38,IF('Investor Lifecycle'!$B$37="PRESERVATION",D38,E38)))</f>
        <v>8-12%</v>
      </c>
      <c r="G38" s="11"/>
      <c r="H38" s="11"/>
      <c r="I38" s="11"/>
      <c r="J38" s="11"/>
      <c r="K38" s="11"/>
      <c r="L38" s="11"/>
      <c r="M38" s="11"/>
      <c r="N38" s="11"/>
    </row>
    <row r="39" spans="1:14" ht="15" customHeight="1" x14ac:dyDescent="0.3">
      <c r="A39" s="19" t="s">
        <v>1123</v>
      </c>
      <c r="B39" s="93" t="s">
        <v>1124</v>
      </c>
      <c r="C39" s="94" t="s">
        <v>1125</v>
      </c>
      <c r="D39" s="95" t="s">
        <v>1126</v>
      </c>
      <c r="E39" s="96" t="s">
        <v>1120</v>
      </c>
      <c r="F39" s="17" t="str">
        <f>IF(OR('Investor Lifecycle'!$B$37="ACCUMULATION"),B39,IF('Investor Lifecycle'!$B$37="GROWTH",C39,IF('Investor Lifecycle'!$B$37="PRESERVATION",D39,E39)))</f>
        <v>20-25%</v>
      </c>
      <c r="G39" s="11"/>
      <c r="H39" s="11"/>
      <c r="I39" s="11"/>
      <c r="J39" s="11"/>
      <c r="K39" s="11"/>
      <c r="L39" s="11"/>
      <c r="M39" s="11"/>
      <c r="N39" s="11"/>
    </row>
    <row r="40" spans="1:14" ht="15" customHeight="1" x14ac:dyDescent="0.3">
      <c r="A40" s="19" t="s">
        <v>1127</v>
      </c>
      <c r="B40" s="93" t="s">
        <v>1128</v>
      </c>
      <c r="C40" s="94" t="s">
        <v>1129</v>
      </c>
      <c r="D40" s="95" t="s">
        <v>1130</v>
      </c>
      <c r="E40" s="96" t="s">
        <v>1131</v>
      </c>
      <c r="F40" s="17" t="str">
        <f>IF(OR('Investor Lifecycle'!$B$37="ACCUMULATION"),B40,IF('Investor Lifecycle'!$B$37="GROWTH",C40,IF('Investor Lifecycle'!$B$37="PRESERVATION",D40,E40)))</f>
        <v>0.35-0.50</v>
      </c>
      <c r="G40" s="11"/>
      <c r="H40" s="11"/>
      <c r="I40" s="11"/>
      <c r="J40" s="11"/>
      <c r="K40" s="11"/>
      <c r="L40" s="11"/>
      <c r="M40" s="11"/>
      <c r="N40" s="11"/>
    </row>
    <row r="41" spans="1:14" ht="15" customHeight="1" x14ac:dyDescent="0.3">
      <c r="A41" s="19" t="s">
        <v>1132</v>
      </c>
      <c r="B41" s="93" t="s">
        <v>302</v>
      </c>
      <c r="C41" s="94" t="s">
        <v>1133</v>
      </c>
      <c r="D41" s="95" t="s">
        <v>1126</v>
      </c>
      <c r="E41" s="96" t="s">
        <v>394</v>
      </c>
      <c r="F41" s="17" t="str">
        <f>IF(OR('Investor Lifecycle'!$B$37="ACCUMULATION"),B41,IF('Investor Lifecycle'!$B$37="GROWTH",C41,IF('Investor Lifecycle'!$B$37="PRESERVATION",D41,E41)))</f>
        <v>25-35%</v>
      </c>
      <c r="G41" s="11"/>
      <c r="H41" s="11"/>
      <c r="I41" s="11"/>
      <c r="J41" s="11"/>
      <c r="K41" s="11"/>
      <c r="L41" s="11"/>
      <c r="M41" s="11"/>
      <c r="N41" s="11"/>
    </row>
    <row r="42" spans="1:14" ht="15" customHeight="1" x14ac:dyDescent="0.3">
      <c r="A42" s="19" t="s">
        <v>1134</v>
      </c>
      <c r="B42" s="93" t="s">
        <v>1135</v>
      </c>
      <c r="C42" s="94" t="s">
        <v>1135</v>
      </c>
      <c r="D42" s="95" t="s">
        <v>1136</v>
      </c>
      <c r="E42" s="96" t="s">
        <v>390</v>
      </c>
      <c r="F42" s="17" t="str">
        <f>IF(OR('Investor Lifecycle'!$B$37="ACCUMULATION"),B42,IF('Investor Lifecycle'!$B$37="GROWTH",C42,IF('Investor Lifecycle'!$B$37="PRESERVATION",D42,E42)))</f>
        <v>0%</v>
      </c>
      <c r="G42" s="11"/>
      <c r="H42" s="11"/>
      <c r="I42" s="11"/>
      <c r="J42" s="11"/>
      <c r="K42" s="11"/>
      <c r="L42" s="11"/>
      <c r="M42" s="11"/>
      <c r="N42" s="11"/>
    </row>
    <row r="43" spans="1:14" ht="15" customHeight="1" x14ac:dyDescent="0.3">
      <c r="A43" s="19" t="s">
        <v>1137</v>
      </c>
      <c r="B43" s="93" t="s">
        <v>1138</v>
      </c>
      <c r="C43" s="94" t="s">
        <v>1139</v>
      </c>
      <c r="D43" s="95" t="s">
        <v>1140</v>
      </c>
      <c r="E43" s="96" t="s">
        <v>1141</v>
      </c>
      <c r="F43" s="17" t="str">
        <f>IF(OR('Investor Lifecycle'!$B$37="ACCUMULATION"),B43,IF('Investor Lifecycle'!$B$37="GROWTH",C43,IF('Investor Lifecycle'!$B$37="PRESERVATION",D43,E43)))</f>
        <v>55-75%</v>
      </c>
      <c r="G43" s="11"/>
      <c r="H43" s="11"/>
      <c r="I43" s="11"/>
      <c r="J43" s="11"/>
      <c r="K43" s="11"/>
      <c r="L43" s="11"/>
      <c r="M43" s="11"/>
      <c r="N43" s="11"/>
    </row>
    <row r="44" spans="1:14" ht="15" customHeight="1" x14ac:dyDescent="0.3">
      <c r="A44" s="19" t="s">
        <v>1142</v>
      </c>
      <c r="B44" s="93" t="s">
        <v>395</v>
      </c>
      <c r="C44" s="94" t="s">
        <v>1133</v>
      </c>
      <c r="D44" s="95" t="s">
        <v>1143</v>
      </c>
      <c r="E44" s="96" t="s">
        <v>1139</v>
      </c>
      <c r="F44" s="17" t="str">
        <f>IF(OR('Investor Lifecycle'!$B$37="ACCUMULATION"),B44,IF('Investor Lifecycle'!$B$37="GROWTH",C44,IF('Investor Lifecycle'!$B$37="PRESERVATION",D44,E44)))</f>
        <v>5-15%</v>
      </c>
      <c r="G44" s="11"/>
      <c r="H44" s="11"/>
      <c r="I44" s="11"/>
      <c r="J44" s="11"/>
      <c r="K44" s="11"/>
      <c r="L44" s="11"/>
      <c r="M44" s="11"/>
      <c r="N44" s="11"/>
    </row>
    <row r="45" spans="1:14" ht="15" customHeight="1" x14ac:dyDescent="0.3">
      <c r="A45" s="19" t="s">
        <v>1144</v>
      </c>
      <c r="B45" s="93" t="s">
        <v>1133</v>
      </c>
      <c r="C45" s="94" t="s">
        <v>1145</v>
      </c>
      <c r="D45" s="95" t="s">
        <v>1145</v>
      </c>
      <c r="E45" s="96" t="s">
        <v>1133</v>
      </c>
      <c r="F45" s="17" t="str">
        <f>IF(OR('Investor Lifecycle'!$B$37="ACCUMULATION"),B45,IF('Investor Lifecycle'!$B$37="GROWTH",C45,IF('Investor Lifecycle'!$B$37="PRESERVATION",D45,E45)))</f>
        <v>15-25%</v>
      </c>
      <c r="G45" s="11"/>
      <c r="H45" s="11"/>
      <c r="I45" s="11"/>
      <c r="J45" s="11"/>
      <c r="K45" s="11"/>
      <c r="L45" s="11"/>
      <c r="M45" s="11"/>
      <c r="N45" s="11"/>
    </row>
    <row r="46" spans="1:14" ht="15" customHeight="1" x14ac:dyDescent="0.3">
      <c r="A46" s="19" t="s">
        <v>1146</v>
      </c>
      <c r="B46" s="93" t="s">
        <v>324</v>
      </c>
      <c r="C46" s="94" t="s">
        <v>324</v>
      </c>
      <c r="D46" s="95" t="s">
        <v>812</v>
      </c>
      <c r="E46" s="96" t="s">
        <v>812</v>
      </c>
      <c r="F46" s="17" t="str">
        <f>IF(OR('Investor Lifecycle'!$B$37="ACCUMULATION"),B46,IF('Investor Lifecycle'!$B$37="GROWTH",C46,IF('Investor Lifecycle'!$B$37="PRESERVATION",D46,E46)))</f>
        <v>Quarterly</v>
      </c>
      <c r="G46" s="11"/>
      <c r="H46" s="11"/>
      <c r="I46" s="11"/>
      <c r="J46" s="11"/>
      <c r="K46" s="11"/>
      <c r="L46" s="11"/>
      <c r="M46" s="11"/>
      <c r="N46" s="11"/>
    </row>
    <row r="47" spans="1:14" ht="15" customHeight="1" x14ac:dyDescent="0.3">
      <c r="A47" s="19" t="s">
        <v>1147</v>
      </c>
      <c r="B47" s="93" t="s">
        <v>391</v>
      </c>
      <c r="C47" s="94" t="s">
        <v>391</v>
      </c>
      <c r="D47" s="95" t="s">
        <v>392</v>
      </c>
      <c r="E47" s="96" t="s">
        <v>396</v>
      </c>
      <c r="F47" s="17" t="str">
        <f>IF(OR('Investor Lifecycle'!$B$37="ACCUMULATION"),B47,IF('Investor Lifecycle'!$B$37="GROWTH",C47,IF('Investor Lifecycle'!$B$37="PRESERVATION",D47,E47)))</f>
        <v>HIGH</v>
      </c>
      <c r="G47" s="11"/>
      <c r="H47" s="11"/>
      <c r="I47" s="11"/>
      <c r="J47" s="11"/>
      <c r="K47" s="11"/>
      <c r="L47" s="11"/>
      <c r="M47" s="11"/>
      <c r="N47" s="11"/>
    </row>
    <row r="48" spans="1:14" ht="15" customHeight="1" x14ac:dyDescent="0.3">
      <c r="A48" s="19" t="s">
        <v>1148</v>
      </c>
      <c r="B48" s="93" t="s">
        <v>1149</v>
      </c>
      <c r="C48" s="94" t="s">
        <v>1150</v>
      </c>
      <c r="D48" s="95" t="s">
        <v>1151</v>
      </c>
      <c r="E48" s="96" t="s">
        <v>1152</v>
      </c>
      <c r="F48" s="17" t="str">
        <f>IF(OR('Investor Lifecycle'!$B$37="ACCUMULATION"),B48,IF('Investor Lifecycle'!$B$37="GROWTH",C48,IF('Investor Lifecycle'!$B$37="PRESERVATION",D48,E48)))</f>
        <v>Sequence of saving</v>
      </c>
      <c r="G48" s="11"/>
      <c r="H48" s="11"/>
      <c r="I48" s="11"/>
      <c r="J48" s="11"/>
      <c r="K48" s="11"/>
      <c r="L48" s="11"/>
      <c r="M48" s="11"/>
      <c r="N48" s="11"/>
    </row>
    <row r="49" spans="1:14" ht="15" customHeight="1" x14ac:dyDescent="0.3">
      <c r="A49" s="19" t="s">
        <v>1153</v>
      </c>
      <c r="B49" s="93" t="s">
        <v>1078</v>
      </c>
      <c r="C49" s="94" t="s">
        <v>1079</v>
      </c>
      <c r="D49" s="95" t="s">
        <v>1154</v>
      </c>
      <c r="E49" s="96" t="s">
        <v>1155</v>
      </c>
      <c r="F49" s="17" t="str">
        <f>IF(OR('Investor Lifecycle'!$B$37="ACCUMULATION"),B49,IF('Investor Lifecycle'!$B$37="GROWTH",C49,IF('Investor Lifecycle'!$B$37="PRESERVATION",D49,E49)))</f>
        <v>Stay invested</v>
      </c>
      <c r="G49" s="11"/>
      <c r="H49" s="11"/>
      <c r="I49" s="11"/>
      <c r="J49" s="11"/>
      <c r="K49" s="11"/>
      <c r="L49" s="11"/>
      <c r="M49" s="11"/>
      <c r="N49" s="11"/>
    </row>
    <row r="50" spans="1:14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ht="15" customHeight="1" x14ac:dyDescent="0.3">
      <c r="A52" s="69" t="s">
        <v>1156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ht="15" customHeight="1" x14ac:dyDescent="0.3">
      <c r="A53" s="49" t="s">
        <v>1157</v>
      </c>
      <c r="B53" s="2" t="str">
        <f>IF(COUNTIF(Rebalancing!F4:F27,"YES")&gt;0,"YES — "&amp;COUNTIF(Rebalancing!F4:F27,"YES")&amp;" positions need rebalancing","NO — All positions within bands")</f>
        <v>NO — All positions within bands</v>
      </c>
      <c r="C53" s="2"/>
      <c r="D53" s="2"/>
      <c r="E53" s="2"/>
      <c r="F53" s="2"/>
      <c r="G53" s="11"/>
      <c r="H53" s="11"/>
      <c r="I53" s="11"/>
      <c r="J53" s="11"/>
      <c r="K53" s="11"/>
      <c r="L53" s="11"/>
      <c r="M53" s="11"/>
      <c r="N53" s="11"/>
    </row>
    <row r="54" spans="1:14" ht="15" customHeight="1" x14ac:dyDescent="0.3">
      <c r="A54" s="49" t="s">
        <v>1158</v>
      </c>
      <c r="B54" s="2" t="str">
        <f>IF('Investor Lifecycle'!B60&lt;0.05,"YES — Within 5% of phase target","NO — "&amp;TEXT('Investor Lifecycle'!B60,"0.0%")&amp;" deviation from phase target")</f>
        <v>YES — Within 5% of phase target</v>
      </c>
      <c r="C54" s="2"/>
      <c r="D54" s="2"/>
      <c r="E54" s="2"/>
      <c r="F54" s="2"/>
      <c r="G54" s="11"/>
      <c r="H54" s="11"/>
      <c r="I54" s="11"/>
      <c r="J54" s="11"/>
      <c r="K54" s="11"/>
      <c r="L54" s="11"/>
      <c r="M54" s="11"/>
      <c r="N54" s="11"/>
    </row>
    <row r="55" spans="1:14" ht="15" customHeight="1" x14ac:dyDescent="0.3">
      <c r="A55" s="49" t="s">
        <v>1159</v>
      </c>
      <c r="B55" s="2" t="str">
        <f ca="1">IF(ABS(AVERAGE('Technical Analysis'!Z42:Z65)-AVERAGE('Data Input'!AC56:AC79))&lt;15,"YES — Systems agree within 15 points","NO — "&amp;ROUND(ABS(AVERAGE('Technical Analysis'!Z42:Z65)-AVERAGE('Data Input'!AC56:AC79)),0)&amp;" point divergence")</f>
        <v>NO — 49 point divergence</v>
      </c>
      <c r="C55" s="2"/>
      <c r="D55" s="2"/>
      <c r="E55" s="2"/>
      <c r="F55" s="2"/>
      <c r="G55" s="11"/>
      <c r="H55" s="11"/>
      <c r="I55" s="11"/>
      <c r="J55" s="11"/>
      <c r="K55" s="11"/>
      <c r="L55" s="11"/>
      <c r="M55" s="11"/>
      <c r="N55" s="11"/>
    </row>
    <row r="56" spans="1:14" ht="15" customHeight="1" x14ac:dyDescent="0.3">
      <c r="A56" s="49" t="s">
        <v>1160</v>
      </c>
      <c r="B56" s="2" t="str">
        <f>IF('Investor Lifecycle'!B35&lt;='Investor Lifecycle'!B65,"YES — Below "&amp;TEXT('Investor Lifecycle'!B65,"0.0%")&amp;" target","⚠ ABOVE target — reduce spending or increase income")</f>
        <v>YES — Below 4.0% target</v>
      </c>
      <c r="C56" s="2"/>
      <c r="D56" s="2"/>
      <c r="E56" s="2"/>
      <c r="F56" s="2"/>
      <c r="G56" s="11"/>
      <c r="H56" s="11"/>
      <c r="I56" s="11"/>
      <c r="J56" s="11"/>
      <c r="K56" s="11"/>
      <c r="L56" s="11"/>
      <c r="M56" s="11"/>
      <c r="N56" s="11"/>
    </row>
    <row r="57" spans="1:14" ht="15" customHeight="1" x14ac:dyDescent="0.3">
      <c r="A57" s="49" t="s">
        <v>1161</v>
      </c>
      <c r="B57" s="2" t="str">
        <f ca="1">'Data Input'!B92</f>
        <v>⚠ CASH TRIGGER ACTIVE</v>
      </c>
      <c r="C57" s="2"/>
      <c r="D57" s="2"/>
      <c r="E57" s="2"/>
      <c r="F57" s="2"/>
      <c r="G57" s="11"/>
      <c r="H57" s="11"/>
      <c r="I57" s="11"/>
      <c r="J57" s="11"/>
      <c r="K57" s="11"/>
      <c r="L57" s="11"/>
      <c r="M57" s="11"/>
      <c r="N57" s="11"/>
    </row>
    <row r="58" spans="1:14" ht="15" customHeight="1" x14ac:dyDescent="0.3">
      <c r="A58" s="49" t="s">
        <v>1162</v>
      </c>
      <c r="B58" s="2" t="str">
        <f ca="1">'Buffered ETF Strategy'!C11</f>
        <v>MAXIMUM BUFFER</v>
      </c>
      <c r="C58" s="2"/>
      <c r="D58" s="2"/>
      <c r="E58" s="2"/>
      <c r="F58" s="2"/>
      <c r="G58" s="11"/>
      <c r="H58" s="11"/>
      <c r="I58" s="11"/>
      <c r="J58" s="11"/>
      <c r="K58" s="11"/>
      <c r="L58" s="11"/>
      <c r="M58" s="11"/>
      <c r="N58" s="11"/>
    </row>
    <row r="59" spans="1:14" ht="15" customHeight="1" x14ac:dyDescent="0.3">
      <c r="A59" s="49" t="s">
        <v>1163</v>
      </c>
      <c r="B59" s="2" t="str">
        <f ca="1">IF(AVERAGE(C22:C31)&gt;=65,"RISK ON — Favor equity + growth",IF(AVERAGE(C22:C31)&gt;=45,"NEUTRAL — Balanced allocation",IF(AVERAGE(C22:C31)&gt;=30,"RISK OFF — Favor bonds + hedges","CRISIS — Deploy reserves + maximum protection")))</f>
        <v>RISK OFF — Favor bonds + hedges</v>
      </c>
      <c r="C59" s="2"/>
      <c r="D59" s="2"/>
      <c r="E59" s="2"/>
      <c r="F59" s="2"/>
      <c r="G59" s="11"/>
      <c r="H59" s="11"/>
      <c r="I59" s="11"/>
      <c r="J59" s="11"/>
      <c r="K59" s="11"/>
      <c r="L59" s="11"/>
      <c r="M59" s="11"/>
      <c r="N59" s="11"/>
    </row>
    <row r="60" spans="1:14" ht="15" customHeight="1" x14ac:dyDescent="0.3">
      <c r="A60" s="49" t="s">
        <v>1164</v>
      </c>
      <c r="B60" s="2" t="str">
        <f ca="1">IF(COUNTIF('Technical Analysis'!AB42:AB65,"P1*")&gt;0,"Execute P1 trades: "&amp;COUNTIF('Technical Analysis'!AB42:AB65,"P1*")&amp;" immediate actions",IF(COUNTIF(Rebalancing!F4:F27,"YES")&gt;0,"Rebalance "&amp;COUNTIF(Rebalancing!F4:F27,"YES")&amp;" positions","Monitor — no immediate action needed"))</f>
        <v>Monitor — no immediate action needed</v>
      </c>
      <c r="C60" s="2"/>
      <c r="D60" s="2"/>
      <c r="E60" s="2"/>
      <c r="F60" s="2"/>
      <c r="G60" s="11"/>
      <c r="H60" s="11"/>
      <c r="I60" s="11"/>
      <c r="J60" s="11"/>
      <c r="K60" s="11"/>
      <c r="L60" s="11"/>
      <c r="M60" s="11"/>
      <c r="N60" s="11"/>
    </row>
    <row r="61" spans="1:14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</sheetData>
  <mergeCells count="10">
    <mergeCell ref="B56:F56"/>
    <mergeCell ref="B57:F57"/>
    <mergeCell ref="B58:F58"/>
    <mergeCell ref="B59:F59"/>
    <mergeCell ref="B60:F60"/>
    <mergeCell ref="A1:L1"/>
    <mergeCell ref="B18:F18"/>
    <mergeCell ref="B53:F53"/>
    <mergeCell ref="B54:F54"/>
    <mergeCell ref="B55:F5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 Input</vt:lpstr>
      <vt:lpstr>Asset Analysis</vt:lpstr>
      <vt:lpstr>Dashboard</vt:lpstr>
      <vt:lpstr>Signal Engine</vt:lpstr>
      <vt:lpstr>Buffered ETF Strategy</vt:lpstr>
      <vt:lpstr>Risk Management</vt:lpstr>
      <vt:lpstr>Rebalancing</vt:lpstr>
      <vt:lpstr>Portfolio Construction</vt:lpstr>
      <vt:lpstr>Trading Desk</vt:lpstr>
      <vt:lpstr>Screening Universe</vt:lpstr>
      <vt:lpstr>Portfolio Forecast</vt:lpstr>
      <vt:lpstr>Scenario Compare</vt:lpstr>
      <vt:lpstr>YCharts Setup</vt:lpstr>
      <vt:lpstr>Technical Analysis</vt:lpstr>
      <vt:lpstr>Investor Lifecycle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Shaun Marline</cp:lastModifiedBy>
  <cp:revision>0</cp:revision>
  <dcterms:created xsi:type="dcterms:W3CDTF">2026-02-10T22:11:32Z</dcterms:created>
  <dcterms:modified xsi:type="dcterms:W3CDTF">2026-02-11T15:55:07Z</dcterms:modified>
  <dc:language>en-US</dc:language>
</cp:coreProperties>
</file>